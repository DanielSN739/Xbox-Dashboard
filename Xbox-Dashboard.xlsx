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9cb45fb211e1e1a/Documentos/DIO - Excel com Claude/PROJECTO/PROJETO 3/"/>
    </mc:Choice>
  </mc:AlternateContent>
  <xr:revisionPtr revIDLastSave="6" documentId="13_ncr:1_{3C2F8ED6-40B2-4E08-832A-7140AC03FA60}" xr6:coauthVersionLast="47" xr6:coauthVersionMax="47" xr10:uidLastSave="{38646668-48DB-47DD-9A83-50FE9DD3A173}"/>
  <bookViews>
    <workbookView xWindow="-120" yWindow="-120" windowWidth="29040" windowHeight="15720" tabRatio="0" firstSheet="4" activeTab="4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Planilha7" sheetId="15" state="hidden" r:id="rId4"/>
    <sheet name="D̳ashboard" sheetId="4" r:id="rId5"/>
    <sheet name="Planilha4" sheetId="12" state="hidden" r:id="rId6"/>
  </sheets>
  <definedNames>
    <definedName name="DadosExternos_1" localSheetId="5" hidden="1">Planilha4!$A$1:$M$296</definedName>
    <definedName name="SegmentaçãodeDados_Tipo_de_Assinatura">#N/A</definedName>
  </definedNames>
  <calcPr calcId="181029"/>
  <pivotCaches>
    <pivotCache cacheId="0" r:id="rId7"/>
    <pivotCache cacheId="1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6" i="3" l="1"/>
  <c r="M16" i="3"/>
  <c r="G49" i="3"/>
  <c r="G22" i="3"/>
  <c r="G31" i="3"/>
  <c r="G1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E698E6-ADDE-419E-B950-0E943230E824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  <connection id="2" xr16:uid="{341AE7F8-2E99-4366-A449-68003204887D}" keepAlive="1" name="Consulta - Tabela1 (2)" description="Conexão com a consulta 'Tabela1 (2)' na pasta de trabalho." type="5" refreshedVersion="8" background="1" saveData="1">
    <dbPr connection="Provider=Microsoft.Mashup.OleDb.1;Data Source=$Workbook$;Location=&quot;Tabela1 (2)&quot;;Extended Properties=&quot;&quot;" command="SELECT * FROM [Tabela1 (2)]"/>
  </connection>
  <connection id="3" xr16:uid="{5930CC09-31D7-4D84-8D6D-653F6DC98618}" keepAlive="1" name="Consulta - Tabela1 (3)" description="Conexão com a consulta 'Tabela1 (3)' na pasta de trabalho." type="5" refreshedVersion="8" background="1" saveData="1">
    <dbPr connection="Provider=Microsoft.Mashup.OleDb.1;Data Source=$Workbook$;Location=&quot;Tabela1 (3)&quot;;Extended Properties=&quot;&quot;" command="SELECT * FROM [Tabela1 (3)]"/>
  </connection>
  <connection id="4" xr16:uid="{7EDC2596-698B-48A9-A3AF-E828643E0659}" keepAlive="1" name="Consulta - Tabela1 (4)" description="Conexão com a consulta 'Tabela1 (4)' na pasta de trabalho." type="5" refreshedVersion="8" background="1" saveData="1">
    <dbPr connection="Provider=Microsoft.Mashup.OleDb.1;Data Source=$Workbook$;Location=&quot;Tabela1 (4)&quot;;Extended Properties=&quot;&quot;" command="SELECT * FROM [Tabela1 (4)]"/>
  </connection>
</connections>
</file>

<file path=xl/sharedStrings.xml><?xml version="1.0" encoding="utf-8"?>
<sst xmlns="http://schemas.openxmlformats.org/spreadsheetml/2006/main" count="4016" uniqueCount="336">
  <si>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</si>
  <si>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</si>
  <si>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</si>
  <si>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</si>
  <si>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</si>
  <si>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</si>
  <si>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</si>
  <si>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</si>
  <si>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</si>
  <si>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</si>
  <si>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</si>
  <si>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</si>
  <si>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</si>
  <si>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</si>
  <si>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</si>
  <si>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</si>
  <si>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</si>
  <si>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</si>
  <si>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</si>
  <si>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</si>
  <si>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</si>
  <si>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</si>
  <si>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</si>
  <si>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</si>
  <si>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</si>
  <si>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</si>
  <si>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</si>
  <si>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</si>
  <si>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</si>
  <si>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</si>
  <si>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</si>
  <si>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</si>
  <si>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</si>
  <si>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</si>
  <si>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</si>
  <si>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</si>
  <si>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</si>
  <si>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</si>
  <si>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</si>
  <si>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</si>
  <si>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</si>
  <si>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</si>
  <si>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</si>
  <si>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</si>
  <si>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</si>
  <si>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</si>
  <si>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</si>
  <si>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</si>
  <si>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</si>
  <si>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</si>
  <si>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</si>
  <si>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</si>
  <si>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</si>
  <si>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</si>
  <si>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</si>
  <si>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</si>
  <si>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</si>
  <si>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</si>
  <si>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</si>
  <si>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</si>
  <si>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</si>
  <si>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</si>
  <si>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</si>
  <si>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</si>
  <si>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</si>
  <si>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</si>
  <si>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</si>
  <si>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</si>
  <si>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</si>
  <si>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</si>
  <si>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</si>
  <si>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</si>
  <si>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</si>
  <si>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</si>
  <si>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</si>
  <si>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</si>
  <si>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</si>
  <si>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</si>
  <si>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</si>
  <si>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</si>
  <si>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</si>
  <si>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</si>
  <si>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</si>
  <si>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</si>
  <si>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</si>
  <si>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</si>
  <si>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</si>
  <si>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</si>
  <si>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</si>
  <si>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</si>
  <si>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</si>
  <si>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</si>
  <si>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</si>
  <si>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</si>
  <si>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</si>
  <si>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</si>
  <si>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</si>
  <si>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</si>
  <si>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</si>
  <si>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</si>
  <si>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</si>
  <si>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</si>
  <si>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</si>
  <si>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</si>
  <si>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</si>
  <si>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</si>
  <si>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</si>
  <si>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</si>
  <si>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</si>
  <si>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</si>
  <si>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</si>
  <si>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</si>
  <si>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</si>
  <si>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</si>
  <si>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</si>
  <si>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</si>
  <si>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</si>
  <si>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</si>
  <si>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</si>
  <si>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</si>
  <si>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</si>
  <si>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</si>
  <si>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</si>
  <si>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</si>
  <si>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</si>
  <si>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</si>
  <si>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</si>
  <si>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</si>
  <si>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</si>
  <si>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</si>
  <si>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</si>
  <si>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</si>
  <si>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</si>
  <si>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</si>
  <si>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</si>
  <si>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</si>
  <si>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</si>
  <si>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</si>
  <si>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</si>
  <si>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</si>
  <si>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</si>
  <si>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</si>
  <si>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</si>
  <si>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</si>
  <si>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</si>
  <si>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</si>
  <si>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</si>
  <si>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</si>
  <si>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</si>
  <si>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</si>
  <si>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</si>
  <si>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</si>
  <si>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</si>
  <si>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</si>
  <si>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</si>
  <si>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</si>
  <si>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</si>
  <si>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</si>
  <si>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</si>
  <si>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</si>
  <si>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</si>
  <si>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</si>
  <si>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</si>
  <si>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</si>
  <si>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</si>
  <si>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</si>
  <si>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</si>
  <si>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</si>
  <si>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</si>
  <si>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</si>
  <si>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</si>
  <si>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</si>
  <si>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</si>
  <si>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</si>
  <si>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</si>
  <si>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</si>
  <si>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</si>
  <si>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</si>
  <si>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</si>
  <si>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</si>
  <si>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</si>
  <si>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</si>
  <si>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</si>
  <si>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</si>
  <si>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</si>
  <si>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</si>
  <si>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</si>
  <si>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</si>
  <si>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</si>
  <si>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</si>
  <si>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</si>
  <si>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</si>
  <si>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</si>
  <si>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</si>
  <si>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</si>
  <si>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</si>
  <si>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</si>
  <si>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</si>
  <si>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</si>
  <si>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</si>
  <si>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</si>
  <si>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</si>
  <si>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</si>
  <si>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</si>
  <si>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</si>
  <si>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</si>
  <si>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</si>
  <si>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</si>
  <si>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</si>
  <si>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</si>
  <si>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</si>
  <si>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</si>
  <si>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</si>
  <si>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</si>
  <si>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</si>
  <si>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</si>
  <si>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</si>
  <si>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</si>
  <si>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</si>
  <si>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</si>
  <si>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</si>
  <si>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</si>
  <si>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</si>
  <si>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</si>
  <si>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</si>
  <si>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</si>
  <si>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</si>
  <si>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</si>
  <si>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</si>
  <si>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</si>
  <si>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</si>
  <si>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</si>
  <si>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</si>
  <si>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</si>
  <si>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</si>
  <si>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</si>
  <si>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</si>
  <si>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</si>
  <si>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</si>
  <si>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</si>
  <si>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</si>
  <si>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</si>
  <si>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</si>
  <si>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</si>
  <si>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</si>
  <si>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</si>
  <si>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</si>
  <si>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</si>
  <si>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</si>
  <si>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</si>
  <si>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</si>
  <si>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</si>
  <si>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</si>
  <si>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</si>
  <si>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</si>
  <si>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</si>
  <si>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</si>
  <si>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</si>
  <si>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</si>
  <si>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</si>
  <si>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</si>
  <si>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</si>
  <si>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</si>
  <si>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</si>
  <si>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</si>
  <si>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</si>
  <si>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</si>
  <si>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</si>
  <si>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</si>
  <si>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</si>
  <si>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</si>
  <si>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</si>
  <si>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</si>
  <si>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</si>
  <si>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</si>
  <si>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</si>
  <si>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</si>
  <si>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</si>
  <si>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</si>
  <si>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</si>
  <si>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</si>
  <si>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</si>
  <si>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</si>
  <si>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</si>
  <si>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</si>
  <si>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</si>
  <si>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</si>
  <si>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</si>
  <si>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</si>
  <si>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</si>
  <si>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</si>
  <si>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</si>
  <si>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</si>
  <si>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</si>
  <si>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</si>
  <si>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</si>
  <si>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</si>
  <si>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</si>
  <si>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</si>
  <si>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</si>
  <si>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</si>
  <si>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</si>
  <si>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</si>
  <si>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</si>
  <si>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</si>
  <si>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</si>
  <si>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</si>
  <si>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</si>
  <si>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</si>
  <si>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</si>
  <si>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</si>
  <si>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, separado por auto renovação ou que não por auto renovação</t>
    </r>
  </si>
  <si>
    <t>Pergunta de negócio 4 - Total de vendas de assinaturas do Minecraft Season Pass</t>
  </si>
  <si>
    <t xml:space="preserve">     Vendas de Assinaturas do XBOX Game PASS</t>
  </si>
  <si>
    <t>Tipo de Assinatura</t>
  </si>
  <si>
    <t>Anual</t>
  </si>
  <si>
    <t>Mensal</t>
  </si>
  <si>
    <t>Trimestral</t>
  </si>
  <si>
    <t>Auto Renovação</t>
  </si>
  <si>
    <t>Preço de assinatura</t>
  </si>
  <si>
    <t>Rótulos de Linha</t>
  </si>
  <si>
    <t>Total Geral</t>
  </si>
  <si>
    <t>(Tudo)</t>
  </si>
  <si>
    <t>Soma de EA Play Season Pass</t>
  </si>
  <si>
    <t>Soma de Minecraft Season Pass Price</t>
  </si>
  <si>
    <t>Pergunta de negócio 3 - Total de vendas de assinaturas do EA Play Season Pass</t>
  </si>
  <si>
    <t>Soma de Total Value</t>
  </si>
  <si>
    <t>Não</t>
  </si>
  <si>
    <t>Sim</t>
  </si>
  <si>
    <t>Auto ReNãovação</t>
  </si>
  <si>
    <t>Soma de Coupon Value</t>
  </si>
  <si>
    <t>Soma de Preço de assinatura</t>
  </si>
  <si>
    <t>Lucro</t>
  </si>
  <si>
    <t>Lucro (ANO ANTERIOR)</t>
  </si>
  <si>
    <t>Soma de Lucro (ANO ANTERIOR)</t>
  </si>
  <si>
    <t>Soma de Lucro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</si>
</sst>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b/>
      <sz val="15"/>
      <color rgb="FF22C55E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2" applyFont="1"/>
    <xf numFmtId="0" fontId="4" fillId="0" borderId="2" xfId="1" applyFont="1" applyBorder="1"/>
    <xf numFmtId="0" fontId="5" fillId="0" borderId="2" xfId="1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  <xf numFmtId="0" fontId="7" fillId="5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38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  <fill>
        <patternFill>
          <bgColor theme="0"/>
        </patternFill>
      </fill>
    </dxf>
    <dxf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Segmentação de Dados 1" pivot="0" table="0" count="2" xr9:uid="{70B846C2-4CE7-4623-8F46-EAF5D567102B}">
      <tableStyleElement type="wholeTable" dxfId="37"/>
      <tableStyleElement type="headerRow" dxfId="36"/>
    </tableStyle>
    <tableStyle name="SlicerStyleLight6 2" pivot="0" table="0" count="10" xr9:uid="{D16DA776-608F-4F11-A09D-AE5D638873F5}">
      <tableStyleElement type="wholeTable" dxfId="35"/>
      <tableStyleElement type="headerRow" dxfId="34"/>
    </tableStyle>
  </tableStyles>
  <colors>
    <mruColors>
      <color rgb="FF5BF6A8"/>
      <color rgb="FF22C55E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 projeto 3.xlsx]C̳álculos!Tabela dinâmica23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C̳álculos!$K$28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C̳álculos!$J$29:$J$32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C̳álculos!$K$29:$K$32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8-40EE-B7C1-1B77863C4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7856432"/>
        <c:axId val="2067856912"/>
      </c:barChart>
      <c:catAx>
        <c:axId val="2067856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7856912"/>
        <c:crosses val="autoZero"/>
        <c:auto val="1"/>
        <c:lblAlgn val="ctr"/>
        <c:lblOffset val="100"/>
        <c:noMultiLvlLbl val="0"/>
      </c:catAx>
      <c:valAx>
        <c:axId val="206785691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6785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 projeto 3.xlsx]C̳álculos!Tabela dinâmica23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overflow" horzOverflow="overflow" vert="horz" wrap="square" lIns="144000" tIns="7200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C̳álculos!$K$28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A4-4346-86E0-78BDD4C00F6C}"/>
              </c:ext>
            </c:extLst>
          </c:dPt>
          <c:dPt>
            <c:idx val="1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A4-4346-86E0-78BDD4C00F6C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A4-4346-86E0-78BDD4C00F6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overflow" horzOverflow="overflow" vert="horz" wrap="square" lIns="144000" tIns="7200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C̳álculos!$J$29:$J$32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C̳álculos!$K$29:$K$32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A4-4346-86E0-78BDD4C00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8.png"/><Relationship Id="rId7" Type="http://schemas.openxmlformats.org/officeDocument/2006/relationships/image" Target="../media/image11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5" Type="http://schemas.openxmlformats.org/officeDocument/2006/relationships/image" Target="../media/image10.svg"/><Relationship Id="rId10" Type="http://schemas.openxmlformats.org/officeDocument/2006/relationships/chart" Target="../charts/chart2.xml"/><Relationship Id="rId4" Type="http://schemas.openxmlformats.org/officeDocument/2006/relationships/image" Target="../media/image9.png"/><Relationship Id="rId9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1607345</xdr:colOff>
      <xdr:row>1</xdr:row>
      <xdr:rowOff>321469</xdr:rowOff>
    </xdr:from>
    <xdr:to>
      <xdr:col>2</xdr:col>
      <xdr:colOff>321469</xdr:colOff>
      <xdr:row>2</xdr:row>
      <xdr:rowOff>391192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079E55D-DE64-4501-830A-B758A8416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2772"/>
        <a:stretch>
          <a:fillRect/>
        </a:stretch>
      </xdr:blipFill>
      <xdr:spPr>
        <a:xfrm>
          <a:off x="1607345" y="511969"/>
          <a:ext cx="785812" cy="1022223"/>
        </a:xfrm>
        <a:prstGeom prst="rect">
          <a:avLst/>
        </a:prstGeom>
      </xdr:spPr>
    </xdr:pic>
    <xdr:clientData/>
  </xdr:twoCellAnchor>
  <xdr:twoCellAnchor editAs="absolute">
    <xdr:from>
      <xdr:col>1</xdr:col>
      <xdr:colOff>95249</xdr:colOff>
      <xdr:row>4</xdr:row>
      <xdr:rowOff>35719</xdr:rowOff>
    </xdr:from>
    <xdr:to>
      <xdr:col>9</xdr:col>
      <xdr:colOff>511968</xdr:colOff>
      <xdr:row>13</xdr:row>
      <xdr:rowOff>178594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58E74DA4-092F-17E0-B6AA-B788A9687373}"/>
            </a:ext>
          </a:extLst>
        </xdr:cNvPr>
        <xdr:cNvGrpSpPr/>
      </xdr:nvGrpSpPr>
      <xdr:grpSpPr>
        <a:xfrm>
          <a:off x="1932213" y="2240076"/>
          <a:ext cx="4947898" cy="1870982"/>
          <a:chOff x="1928812" y="2238375"/>
          <a:chExt cx="4905375" cy="185737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903B6C84-E40F-9EE5-B768-CC0DE8C0EECB}"/>
              </a:ext>
            </a:extLst>
          </xdr:cNvPr>
          <xdr:cNvSpPr/>
        </xdr:nvSpPr>
        <xdr:spPr>
          <a:xfrm>
            <a:off x="1928812" y="2238375"/>
            <a:ext cx="4905375" cy="1857375"/>
          </a:xfrm>
          <a:prstGeom prst="roundRect">
            <a:avLst>
              <a:gd name="adj" fmla="val 512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G13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39CAFA88-F839-47BA-00E5-9AF860CBDD40}"/>
              </a:ext>
            </a:extLst>
          </xdr:cNvPr>
          <xdr:cNvSpPr/>
        </xdr:nvSpPr>
        <xdr:spPr>
          <a:xfrm>
            <a:off x="3976687" y="2872754"/>
            <a:ext cx="2595563" cy="874366"/>
          </a:xfrm>
          <a:prstGeom prst="roundRect">
            <a:avLst>
              <a:gd name="adj" fmla="val 6667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CBC9FAF-0D7E-438B-86AF-AFED77F90307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7200">
              <a:solidFill>
                <a:srgbClr val="22C5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EBB2E4C9-D37C-4C18-A65E-2796079492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57437" y="2750343"/>
            <a:ext cx="1219200" cy="1119188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29FF2268-AD93-F384-E036-B9C693E3C1E9}"/>
              </a:ext>
            </a:extLst>
          </xdr:cNvPr>
          <xdr:cNvSpPr/>
        </xdr:nvSpPr>
        <xdr:spPr>
          <a:xfrm>
            <a:off x="1928812" y="2238375"/>
            <a:ext cx="4905375" cy="416719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/>
              <a:t>TOTAL DAS ASSINATURAS DO EA PLAY SEASON PASS</a:t>
            </a:r>
          </a:p>
        </xdr:txBody>
      </xdr:sp>
    </xdr:grpSp>
    <xdr:clientData/>
  </xdr:twoCellAnchor>
  <xdr:twoCellAnchor editAs="absolute">
    <xdr:from>
      <xdr:col>10</xdr:col>
      <xdr:colOff>511968</xdr:colOff>
      <xdr:row>4</xdr:row>
      <xdr:rowOff>35719</xdr:rowOff>
    </xdr:from>
    <xdr:to>
      <xdr:col>19</xdr:col>
      <xdr:colOff>119062</xdr:colOff>
      <xdr:row>13</xdr:row>
      <xdr:rowOff>178594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94DE42E2-B7EB-E0F1-699E-D7B91BEBD3A5}"/>
            </a:ext>
          </a:extLst>
        </xdr:cNvPr>
        <xdr:cNvGrpSpPr/>
      </xdr:nvGrpSpPr>
      <xdr:grpSpPr>
        <a:xfrm>
          <a:off x="7492432" y="2240076"/>
          <a:ext cx="4941094" cy="1870982"/>
          <a:chOff x="7441406" y="2238375"/>
          <a:chExt cx="4905375" cy="1857375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6F026246-23DF-4DE9-A79F-85ED42C99C90}"/>
              </a:ext>
            </a:extLst>
          </xdr:cNvPr>
          <xdr:cNvGrpSpPr/>
        </xdr:nvGrpSpPr>
        <xdr:grpSpPr>
          <a:xfrm>
            <a:off x="7441406" y="2238375"/>
            <a:ext cx="4905375" cy="1857375"/>
            <a:chOff x="1928812" y="2238375"/>
            <a:chExt cx="4905375" cy="1857375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C975E730-8F36-4921-B2D1-67EDC99E624C}"/>
                </a:ext>
              </a:extLst>
            </xdr:cNvPr>
            <xdr:cNvSpPr/>
          </xdr:nvSpPr>
          <xdr:spPr>
            <a:xfrm>
              <a:off x="1928812" y="2238375"/>
              <a:ext cx="4905375" cy="1857375"/>
            </a:xfrm>
            <a:prstGeom prst="roundRect">
              <a:avLst>
                <a:gd name="adj" fmla="val 512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G31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E6812679-79F8-6FD4-394F-AA72731A58C8}"/>
                </a:ext>
              </a:extLst>
            </xdr:cNvPr>
            <xdr:cNvSpPr/>
          </xdr:nvSpPr>
          <xdr:spPr>
            <a:xfrm>
              <a:off x="3976687" y="2872754"/>
              <a:ext cx="2595563" cy="874366"/>
            </a:xfrm>
            <a:prstGeom prst="roundRect">
              <a:avLst>
                <a:gd name="adj" fmla="val 6667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71B8B6D-FABF-4800-A240-54BAF520CAA7}" type="TxLink">
                <a:rPr lang="en-US" sz="32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R$ 3.880,00 </a:t>
              </a:fld>
              <a:endParaRPr lang="pt-BR" sz="19900" b="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68786176-08C4-F4D0-E0FE-D27991313F88}"/>
                </a:ext>
              </a:extLst>
            </xdr:cNvPr>
            <xdr:cNvSpPr/>
          </xdr:nvSpPr>
          <xdr:spPr>
            <a:xfrm>
              <a:off x="1928812" y="2238375"/>
              <a:ext cx="4905375" cy="416719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/>
                <a:t>TOTAL DAS</a:t>
              </a:r>
              <a:r>
                <a:rPr lang="pt-BR" sz="1200" b="1" baseline="0"/>
                <a:t> ASSINATURAS DO MINECRAFT SEASON PASS</a:t>
              </a:r>
              <a:endParaRPr lang="pt-BR" sz="1200" b="1"/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E5F7068E-1636-49C9-B1D6-3E5759F6E328}"/>
              </a:ext>
            </a:extLst>
          </xdr:cNvPr>
          <xdr:cNvGrpSpPr/>
        </xdr:nvGrpSpPr>
        <xdr:grpSpPr>
          <a:xfrm>
            <a:off x="7774780" y="2952749"/>
            <a:ext cx="1357313" cy="752476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DFEB0009-4DB9-1BBC-C4B8-BB3CC98A885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5DAEA662-3792-3084-7A32-91C847FDEB0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0</xdr:colOff>
      <xdr:row>7</xdr:row>
      <xdr:rowOff>380999</xdr:rowOff>
    </xdr:from>
    <xdr:to>
      <xdr:col>0</xdr:col>
      <xdr:colOff>1828800</xdr:colOff>
      <xdr:row>21</xdr:row>
      <xdr:rowOff>154781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Tipo de Assinatura">
              <a:extLst>
                <a:ext uri="{FF2B5EF4-FFF2-40B4-BE49-F238E27FC236}">
                  <a16:creationId xmlns:a16="http://schemas.microsoft.com/office/drawing/2014/main" id="{92058C0F-97ED-41EC-A48C-66FC7083F8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Assinatur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939142"/>
              <a:ext cx="1828800" cy="26721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535781</xdr:colOff>
      <xdr:row>1</xdr:row>
      <xdr:rowOff>190500</xdr:rowOff>
    </xdr:from>
    <xdr:to>
      <xdr:col>0</xdr:col>
      <xdr:colOff>1231106</xdr:colOff>
      <xdr:row>1</xdr:row>
      <xdr:rowOff>885825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6F46A173-C285-457B-A649-A5E9DA8AF6F6}"/>
            </a:ext>
          </a:extLst>
        </xdr:cNvPr>
        <xdr:cNvSpPr/>
      </xdr:nvSpPr>
      <xdr:spPr>
        <a:xfrm>
          <a:off x="535781" y="38100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154781</xdr:colOff>
      <xdr:row>2</xdr:row>
      <xdr:rowOff>202406</xdr:rowOff>
    </xdr:from>
    <xdr:to>
      <xdr:col>0</xdr:col>
      <xdr:colOff>1595437</xdr:colOff>
      <xdr:row>2</xdr:row>
      <xdr:rowOff>500062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A2752310-4EDC-BC51-41B7-1E5003D97944}"/>
            </a:ext>
          </a:extLst>
        </xdr:cNvPr>
        <xdr:cNvSpPr/>
      </xdr:nvSpPr>
      <xdr:spPr>
        <a:xfrm>
          <a:off x="154781" y="1345406"/>
          <a:ext cx="1440656" cy="297656"/>
        </a:xfrm>
        <a:prstGeom prst="rect">
          <a:avLst/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Bem-vindo, Fernando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47624</xdr:colOff>
      <xdr:row>4</xdr:row>
      <xdr:rowOff>35719</xdr:rowOff>
    </xdr:from>
    <xdr:to>
      <xdr:col>28</xdr:col>
      <xdr:colOff>95249</xdr:colOff>
      <xdr:row>13</xdr:row>
      <xdr:rowOff>178594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CEDB1251-8817-D65A-6326-C2598AFC43FB}"/>
            </a:ext>
          </a:extLst>
        </xdr:cNvPr>
        <xdr:cNvGrpSpPr/>
      </xdr:nvGrpSpPr>
      <xdr:grpSpPr>
        <a:xfrm>
          <a:off x="12974410" y="2240076"/>
          <a:ext cx="4946196" cy="1870982"/>
          <a:chOff x="1928812" y="2238375"/>
          <a:chExt cx="4905375" cy="1857375"/>
        </a:xfrm>
      </xdr:grpSpPr>
      <xdr:sp macro="" textlink="">
        <xdr:nvSpPr>
          <xdr:cNvPr id="31" name="Retângulo: Cantos Arredondados 30">
            <a:extLst>
              <a:ext uri="{FF2B5EF4-FFF2-40B4-BE49-F238E27FC236}">
                <a16:creationId xmlns:a16="http://schemas.microsoft.com/office/drawing/2014/main" id="{3CF01C87-5A89-BFB7-A828-F77268F78E1B}"/>
              </a:ext>
            </a:extLst>
          </xdr:cNvPr>
          <xdr:cNvSpPr/>
        </xdr:nvSpPr>
        <xdr:spPr>
          <a:xfrm>
            <a:off x="1928812" y="2238375"/>
            <a:ext cx="4905375" cy="1857375"/>
          </a:xfrm>
          <a:prstGeom prst="roundRect">
            <a:avLst>
              <a:gd name="adj" fmla="val 512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22C55E"/>
              </a:solidFill>
            </a:endParaRPr>
          </a:p>
        </xdr:txBody>
      </xdr:sp>
      <xdr:sp macro="" textlink="C̳álculos!G22">
        <xdr:nvSpPr>
          <xdr:cNvPr id="32" name="Retângulo: Cantos Arredondados 31">
            <a:extLst>
              <a:ext uri="{FF2B5EF4-FFF2-40B4-BE49-F238E27FC236}">
                <a16:creationId xmlns:a16="http://schemas.microsoft.com/office/drawing/2014/main" id="{93133A94-BE00-3CA6-8C7B-939BE711FC24}"/>
              </a:ext>
            </a:extLst>
          </xdr:cNvPr>
          <xdr:cNvSpPr/>
        </xdr:nvSpPr>
        <xdr:spPr>
          <a:xfrm>
            <a:off x="3786187" y="2884660"/>
            <a:ext cx="2595563" cy="874366"/>
          </a:xfrm>
          <a:prstGeom prst="roundRect">
            <a:avLst>
              <a:gd name="adj" fmla="val 6667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B5A69CE-90C2-4D65-AE56-46A32FA6B0E8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R$ 2.935,00 </a:t>
            </a:fld>
            <a:endParaRPr lang="pt-BR" sz="85700" b="0">
              <a:solidFill>
                <a:srgbClr val="22C55E"/>
              </a:solidFill>
            </a:endParaRPr>
          </a:p>
        </xdr:txBody>
      </xdr:sp>
      <xdr:sp macro="" textlink="">
        <xdr:nvSpPr>
          <xdr:cNvPr id="33" name="Retângulo: Cantos Superiores Arredondados 32">
            <a:extLst>
              <a:ext uri="{FF2B5EF4-FFF2-40B4-BE49-F238E27FC236}">
                <a16:creationId xmlns:a16="http://schemas.microsoft.com/office/drawing/2014/main" id="{4D9911AF-C441-DF80-B34F-38722E4A9719}"/>
              </a:ext>
            </a:extLst>
          </xdr:cNvPr>
          <xdr:cNvSpPr/>
        </xdr:nvSpPr>
        <xdr:spPr>
          <a:xfrm>
            <a:off x="1928812" y="2238375"/>
            <a:ext cx="4905375" cy="416719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/>
              <a:t>TOTAL DAS</a:t>
            </a:r>
            <a:r>
              <a:rPr lang="pt-BR" sz="1200" b="1" baseline="0"/>
              <a:t> ASSINATURAS ISOLADAS</a:t>
            </a:r>
            <a:endParaRPr lang="pt-BR" sz="1200" b="1"/>
          </a:p>
        </xdr:txBody>
      </xdr:sp>
    </xdr:grpSp>
    <xdr:clientData/>
  </xdr:twoCellAnchor>
  <xdr:twoCellAnchor editAs="absolute">
    <xdr:from>
      <xdr:col>21</xdr:col>
      <xdr:colOff>83343</xdr:colOff>
      <xdr:row>7</xdr:row>
      <xdr:rowOff>273843</xdr:rowOff>
    </xdr:from>
    <xdr:to>
      <xdr:col>22</xdr:col>
      <xdr:colOff>261936</xdr:colOff>
      <xdr:row>12</xdr:row>
      <xdr:rowOff>117348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4A79F70D-8E3D-44A4-99F1-FFF7C6FE57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2772"/>
        <a:stretch>
          <a:fillRect/>
        </a:stretch>
      </xdr:blipFill>
      <xdr:spPr>
        <a:xfrm>
          <a:off x="13525499" y="2821781"/>
          <a:ext cx="785812" cy="1022223"/>
        </a:xfrm>
        <a:prstGeom prst="rect">
          <a:avLst/>
        </a:prstGeom>
      </xdr:spPr>
    </xdr:pic>
    <xdr:clientData/>
  </xdr:twoCellAnchor>
  <xdr:twoCellAnchor editAs="absolute">
    <xdr:from>
      <xdr:col>28</xdr:col>
      <xdr:colOff>488156</xdr:colOff>
      <xdr:row>4</xdr:row>
      <xdr:rowOff>35719</xdr:rowOff>
    </xdr:from>
    <xdr:to>
      <xdr:col>36</xdr:col>
      <xdr:colOff>535781</xdr:colOff>
      <xdr:row>13</xdr:row>
      <xdr:rowOff>178594</xdr:rowOff>
    </xdr:to>
    <xdr:grpSp>
      <xdr:nvGrpSpPr>
        <xdr:cNvPr id="46" name="Agrupar 45">
          <a:extLst>
            <a:ext uri="{FF2B5EF4-FFF2-40B4-BE49-F238E27FC236}">
              <a16:creationId xmlns:a16="http://schemas.microsoft.com/office/drawing/2014/main" id="{BD931850-CF22-D8E4-6BD1-7CBC30721C66}"/>
            </a:ext>
          </a:extLst>
        </xdr:cNvPr>
        <xdr:cNvGrpSpPr/>
      </xdr:nvGrpSpPr>
      <xdr:grpSpPr>
        <a:xfrm>
          <a:off x="18313513" y="2240076"/>
          <a:ext cx="4946197" cy="1870982"/>
          <a:chOff x="18180844" y="2238375"/>
          <a:chExt cx="4905375" cy="1857375"/>
        </a:xfrm>
      </xdr:grpSpPr>
      <xdr:grpSp>
        <xdr:nvGrpSpPr>
          <xdr:cNvPr id="38" name="Agrupar 37">
            <a:extLst>
              <a:ext uri="{FF2B5EF4-FFF2-40B4-BE49-F238E27FC236}">
                <a16:creationId xmlns:a16="http://schemas.microsoft.com/office/drawing/2014/main" id="{962E2428-922E-48A7-ABC4-5C0A011A183B}"/>
              </a:ext>
            </a:extLst>
          </xdr:cNvPr>
          <xdr:cNvGrpSpPr/>
        </xdr:nvGrpSpPr>
        <xdr:grpSpPr>
          <a:xfrm>
            <a:off x="18180844" y="2238375"/>
            <a:ext cx="4905375" cy="1857375"/>
            <a:chOff x="1928812" y="2238375"/>
            <a:chExt cx="4905375" cy="1857375"/>
          </a:xfrm>
        </xdr:grpSpPr>
        <xdr:sp macro="" textlink="">
          <xdr:nvSpPr>
            <xdr:cNvPr id="39" name="Retângulo: Cantos Arredondados 38">
              <a:extLst>
                <a:ext uri="{FF2B5EF4-FFF2-40B4-BE49-F238E27FC236}">
                  <a16:creationId xmlns:a16="http://schemas.microsoft.com/office/drawing/2014/main" id="{4349AE6B-BB29-4102-B91C-69540B37E410}"/>
                </a:ext>
              </a:extLst>
            </xdr:cNvPr>
            <xdr:cNvSpPr/>
          </xdr:nvSpPr>
          <xdr:spPr>
            <a:xfrm>
              <a:off x="1928812" y="2238375"/>
              <a:ext cx="4905375" cy="1857375"/>
            </a:xfrm>
            <a:prstGeom prst="roundRect">
              <a:avLst>
                <a:gd name="adj" fmla="val 512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solidFill>
                  <a:srgbClr val="22C55E"/>
                </a:solidFill>
              </a:endParaRPr>
            </a:p>
          </xdr:txBody>
        </xdr:sp>
        <xdr:sp macro="" textlink="C̳álculos!G49">
          <xdr:nvSpPr>
            <xdr:cNvPr id="40" name="Retângulo: Cantos Arredondados 39">
              <a:extLst>
                <a:ext uri="{FF2B5EF4-FFF2-40B4-BE49-F238E27FC236}">
                  <a16:creationId xmlns:a16="http://schemas.microsoft.com/office/drawing/2014/main" id="{11DE5714-5B67-4F17-C627-6AB9134AA9A6}"/>
                </a:ext>
              </a:extLst>
            </xdr:cNvPr>
            <xdr:cNvSpPr/>
          </xdr:nvSpPr>
          <xdr:spPr>
            <a:xfrm>
              <a:off x="3786187" y="2884660"/>
              <a:ext cx="2595563" cy="874366"/>
            </a:xfrm>
            <a:prstGeom prst="roundRect">
              <a:avLst>
                <a:gd name="adj" fmla="val 6667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F79CF70-3C0F-4D9F-8BAD-569C2EC77E40}" type="TxLink">
                <a:rPr lang="en-US" sz="32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R$ 2.122,00 </a:t>
              </a:fld>
              <a:endParaRPr lang="pt-BR" sz="368400" b="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41" name="Retângulo: Cantos Superiores Arredondados 40">
              <a:extLst>
                <a:ext uri="{FF2B5EF4-FFF2-40B4-BE49-F238E27FC236}">
                  <a16:creationId xmlns:a16="http://schemas.microsoft.com/office/drawing/2014/main" id="{D7822019-5133-BF1A-1903-802B0BBE9A98}"/>
                </a:ext>
              </a:extLst>
            </xdr:cNvPr>
            <xdr:cNvSpPr/>
          </xdr:nvSpPr>
          <xdr:spPr>
            <a:xfrm>
              <a:off x="1928812" y="2238375"/>
              <a:ext cx="4905375" cy="416719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/>
                <a:t>VALOR</a:t>
              </a:r>
              <a:r>
                <a:rPr lang="pt-BR" sz="1200" b="1" baseline="0"/>
                <a:t> TOTAL DE DESCONTOS POR CUPONS</a:t>
              </a:r>
              <a:endParaRPr lang="pt-BR" sz="1200" b="1"/>
            </a:p>
          </xdr:txBody>
        </xdr:sp>
      </xdr:grpSp>
      <xdr:pic>
        <xdr:nvPicPr>
          <xdr:cNvPr id="43" name="Imagem 42" descr="Cupom De Desconto ícone PNG Images | Vetores E Arquivos PSD | Download Grátis Em Pngtree">
            <a:extLst>
              <a:ext uri="{FF2B5EF4-FFF2-40B4-BE49-F238E27FC236}">
                <a16:creationId xmlns:a16="http://schemas.microsoft.com/office/drawing/2014/main" id="{ABA5000E-6BBD-0109-57A0-4627EACA009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716625" y="2976562"/>
            <a:ext cx="702468" cy="70491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1</xdr:col>
      <xdr:colOff>6804</xdr:colOff>
      <xdr:row>40</xdr:row>
      <xdr:rowOff>49325</xdr:rowOff>
    </xdr:from>
    <xdr:to>
      <xdr:col>20</xdr:col>
      <xdr:colOff>137772</xdr:colOff>
      <xdr:row>51</xdr:row>
      <xdr:rowOff>144575</xdr:rowOff>
    </xdr:to>
    <xdr:grpSp>
      <xdr:nvGrpSpPr>
        <xdr:cNvPr id="48" name="Agrupar 47">
          <a:extLst>
            <a:ext uri="{FF2B5EF4-FFF2-40B4-BE49-F238E27FC236}">
              <a16:creationId xmlns:a16="http://schemas.microsoft.com/office/drawing/2014/main" id="{95718A29-B614-18F5-53F1-776806580BB1}"/>
            </a:ext>
          </a:extLst>
        </xdr:cNvPr>
        <xdr:cNvGrpSpPr/>
      </xdr:nvGrpSpPr>
      <xdr:grpSpPr>
        <a:xfrm>
          <a:off x="1843768" y="9125289"/>
          <a:ext cx="11220790" cy="2190750"/>
          <a:chOff x="2559843" y="4024312"/>
          <a:chExt cx="14608969" cy="2190750"/>
        </a:xfrm>
      </xdr:grpSpPr>
      <xdr:sp macro="" textlink="C̳álculos!M16">
        <xdr:nvSpPr>
          <xdr:cNvPr id="47" name="Retângulo: Cantos Arredondados 46">
            <a:extLst>
              <a:ext uri="{FF2B5EF4-FFF2-40B4-BE49-F238E27FC236}">
                <a16:creationId xmlns:a16="http://schemas.microsoft.com/office/drawing/2014/main" id="{F8FAAF4A-3621-A8B2-A628-54971264E573}"/>
              </a:ext>
            </a:extLst>
          </xdr:cNvPr>
          <xdr:cNvSpPr/>
        </xdr:nvSpPr>
        <xdr:spPr>
          <a:xfrm>
            <a:off x="2559843" y="4631531"/>
            <a:ext cx="14608969" cy="1583531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1DBCF40-37E0-4651-9EFF-28AD0E0A86DC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R$ 7.633,00 </a:t>
            </a:fld>
            <a:endParaRPr lang="pt-BR" sz="8000">
              <a:solidFill>
                <a:srgbClr val="22C55E"/>
              </a:solidFill>
            </a:endParaRPr>
          </a:p>
        </xdr:txBody>
      </xdr: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D17F8BD2-BACD-4610-BB78-139F95B87ADF}"/>
              </a:ext>
            </a:extLst>
          </xdr:cNvPr>
          <xdr:cNvSpPr/>
        </xdr:nvSpPr>
        <xdr:spPr>
          <a:xfrm>
            <a:off x="2559844" y="4024312"/>
            <a:ext cx="14608968" cy="845344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/>
              <a:t>LUCRO</a:t>
            </a:r>
            <a:r>
              <a:rPr lang="pt-BR" sz="1200" b="1" baseline="0"/>
              <a:t> </a:t>
            </a:r>
            <a:endParaRPr lang="pt-BR" sz="1200" b="1"/>
          </a:p>
        </xdr:txBody>
      </xdr:sp>
    </xdr:grpSp>
    <xdr:clientData/>
  </xdr:twoCellAnchor>
  <xdr:twoCellAnchor editAs="absolute">
    <xdr:from>
      <xdr:col>20</xdr:col>
      <xdr:colOff>352084</xdr:colOff>
      <xdr:row>40</xdr:row>
      <xdr:rowOff>49326</xdr:rowOff>
    </xdr:from>
    <xdr:to>
      <xdr:col>36</xdr:col>
      <xdr:colOff>530677</xdr:colOff>
      <xdr:row>51</xdr:row>
      <xdr:rowOff>144576</xdr:rowOff>
    </xdr:to>
    <xdr:grpSp>
      <xdr:nvGrpSpPr>
        <xdr:cNvPr id="49" name="Agrupar 48">
          <a:extLst>
            <a:ext uri="{FF2B5EF4-FFF2-40B4-BE49-F238E27FC236}">
              <a16:creationId xmlns:a16="http://schemas.microsoft.com/office/drawing/2014/main" id="{CEAD3CEF-0068-4F27-AD89-70727743BAF1}"/>
            </a:ext>
          </a:extLst>
        </xdr:cNvPr>
        <xdr:cNvGrpSpPr/>
      </xdr:nvGrpSpPr>
      <xdr:grpSpPr>
        <a:xfrm>
          <a:off x="13278870" y="9125290"/>
          <a:ext cx="9975736" cy="2190750"/>
          <a:chOff x="2559843" y="4024312"/>
          <a:chExt cx="14608969" cy="2190750"/>
        </a:xfrm>
      </xdr:grpSpPr>
      <xdr:sp macro="" textlink="">
        <xdr:nvSpPr>
          <xdr:cNvPr id="50" name="Retângulo: Cantos Arredondados 49">
            <a:extLst>
              <a:ext uri="{FF2B5EF4-FFF2-40B4-BE49-F238E27FC236}">
                <a16:creationId xmlns:a16="http://schemas.microsoft.com/office/drawing/2014/main" id="{BC5DF1A3-EFCF-2B62-70D6-16AF87876C61}"/>
              </a:ext>
            </a:extLst>
          </xdr:cNvPr>
          <xdr:cNvSpPr/>
        </xdr:nvSpPr>
        <xdr:spPr>
          <a:xfrm>
            <a:off x="2559843" y="4631531"/>
            <a:ext cx="14608969" cy="1583531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0" i="0" u="none" strike="noStrike">
                <a:solidFill>
                  <a:srgbClr val="22C55E"/>
                </a:solidFill>
                <a:latin typeface="Aptos Narrow"/>
              </a:rPr>
              <a:t> </a:t>
            </a:r>
            <a:r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t>R$ 6512,00 </a:t>
            </a:r>
            <a:endParaRPr lang="en-US" sz="1100" b="0" i="0" u="none" strike="noStrike">
              <a:solidFill>
                <a:srgbClr val="22C55E"/>
              </a:solidFill>
              <a:latin typeface="Aptos Narrow"/>
            </a:endParaRPr>
          </a:p>
        </xdr:txBody>
      </xdr:sp>
      <xdr:sp macro="" textlink="">
        <xdr:nvSpPr>
          <xdr:cNvPr id="51" name="Retângulo: Cantos Superiores Arredondados 50">
            <a:extLst>
              <a:ext uri="{FF2B5EF4-FFF2-40B4-BE49-F238E27FC236}">
                <a16:creationId xmlns:a16="http://schemas.microsoft.com/office/drawing/2014/main" id="{EC42E81F-23FC-0A2E-D214-57D20257DC44}"/>
              </a:ext>
            </a:extLst>
          </xdr:cNvPr>
          <xdr:cNvSpPr/>
        </xdr:nvSpPr>
        <xdr:spPr>
          <a:xfrm>
            <a:off x="2559844" y="4024312"/>
            <a:ext cx="14608968" cy="845344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/>
              <a:t>LUCRO FINAL</a:t>
            </a:r>
            <a:r>
              <a:rPr lang="pt-BR" sz="1200" b="1" baseline="0"/>
              <a:t> (ANO ANTERIOR)</a:t>
            </a:r>
            <a:endParaRPr lang="pt-BR" sz="1200" b="1"/>
          </a:p>
        </xdr:txBody>
      </xdr:sp>
    </xdr:grpSp>
    <xdr:clientData/>
  </xdr:twoCellAnchor>
  <xdr:twoCellAnchor editAs="absolute">
    <xdr:from>
      <xdr:col>2</xdr:col>
      <xdr:colOff>598714</xdr:colOff>
      <xdr:row>17</xdr:row>
      <xdr:rowOff>68035</xdr:rowOff>
    </xdr:from>
    <xdr:to>
      <xdr:col>31</xdr:col>
      <xdr:colOff>190500</xdr:colOff>
      <xdr:row>36</xdr:row>
      <xdr:rowOff>122465</xdr:rowOff>
    </xdr:to>
    <xdr:grpSp>
      <xdr:nvGrpSpPr>
        <xdr:cNvPr id="62" name="Agrupar 61">
          <a:extLst>
            <a:ext uri="{FF2B5EF4-FFF2-40B4-BE49-F238E27FC236}">
              <a16:creationId xmlns:a16="http://schemas.microsoft.com/office/drawing/2014/main" id="{57D54A76-1CF1-660E-1F32-959308FC962C}"/>
            </a:ext>
          </a:extLst>
        </xdr:cNvPr>
        <xdr:cNvGrpSpPr/>
      </xdr:nvGrpSpPr>
      <xdr:grpSpPr>
        <a:xfrm>
          <a:off x="2680607" y="4762499"/>
          <a:ext cx="17172214" cy="3673930"/>
          <a:chOff x="2680607" y="4762499"/>
          <a:chExt cx="17172214" cy="3673930"/>
        </a:xfrm>
      </xdr:grpSpPr>
      <xdr:grpSp>
        <xdr:nvGrpSpPr>
          <xdr:cNvPr id="60" name="Agrupar 59">
            <a:extLst>
              <a:ext uri="{FF2B5EF4-FFF2-40B4-BE49-F238E27FC236}">
                <a16:creationId xmlns:a16="http://schemas.microsoft.com/office/drawing/2014/main" id="{220A2FE4-4E15-C8DF-BC77-BF32B2FD0A05}"/>
              </a:ext>
            </a:extLst>
          </xdr:cNvPr>
          <xdr:cNvGrpSpPr/>
        </xdr:nvGrpSpPr>
        <xdr:grpSpPr>
          <a:xfrm>
            <a:off x="2680607" y="4762499"/>
            <a:ext cx="17172214" cy="3668486"/>
            <a:chOff x="6572249" y="4640035"/>
            <a:chExt cx="17172214" cy="3668486"/>
          </a:xfrm>
        </xdr:grpSpPr>
        <xdr:graphicFrame macro="">
          <xdr:nvGraphicFramePr>
            <xdr:cNvPr id="58" name="Gráfico 57">
              <a:extLst>
                <a:ext uri="{FF2B5EF4-FFF2-40B4-BE49-F238E27FC236}">
                  <a16:creationId xmlns:a16="http://schemas.microsoft.com/office/drawing/2014/main" id="{4237C1EA-5AF6-4CD0-AE40-8C0BB527FB07}"/>
                </a:ext>
              </a:extLst>
            </xdr:cNvPr>
            <xdr:cNvGraphicFramePr>
              <a:graphicFrameLocks/>
            </xdr:cNvGraphicFramePr>
          </xdr:nvGraphicFramePr>
          <xdr:xfrm>
            <a:off x="6585857" y="4803321"/>
            <a:ext cx="12575721" cy="3505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sp macro="" textlink="">
          <xdr:nvSpPr>
            <xdr:cNvPr id="59" name="Retângulo: Cantos Superiores Arredondados 58">
              <a:extLst>
                <a:ext uri="{FF2B5EF4-FFF2-40B4-BE49-F238E27FC236}">
                  <a16:creationId xmlns:a16="http://schemas.microsoft.com/office/drawing/2014/main" id="{30C22CE3-A465-4A98-A52B-9284BA2AA8FC}"/>
                </a:ext>
              </a:extLst>
            </xdr:cNvPr>
            <xdr:cNvSpPr/>
          </xdr:nvSpPr>
          <xdr:spPr>
            <a:xfrm>
              <a:off x="6572249" y="4640035"/>
              <a:ext cx="17172214" cy="419772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/>
                <a:t>SEPARAÇÃO</a:t>
              </a:r>
              <a:r>
                <a:rPr lang="pt-BR" sz="1200" b="1" baseline="0"/>
                <a:t> POR PLANOS DE ASSINATURA</a:t>
              </a:r>
              <a:endParaRPr lang="pt-BR" sz="1200" b="1"/>
            </a:p>
          </xdr:txBody>
        </xdr:sp>
      </xdr:grpSp>
      <xdr:graphicFrame macro="">
        <xdr:nvGraphicFramePr>
          <xdr:cNvPr id="61" name="Gráfico 60">
            <a:extLst>
              <a:ext uri="{FF2B5EF4-FFF2-40B4-BE49-F238E27FC236}">
                <a16:creationId xmlns:a16="http://schemas.microsoft.com/office/drawing/2014/main" id="{7E357D20-473F-406A-883D-716F6722C1FF}"/>
              </a:ext>
            </a:extLst>
          </xdr:cNvPr>
          <xdr:cNvGraphicFramePr>
            <a:graphicFrameLocks/>
          </xdr:cNvGraphicFramePr>
        </xdr:nvGraphicFramePr>
        <xdr:xfrm>
          <a:off x="15253606" y="5197929"/>
          <a:ext cx="4572000" cy="3238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e silva" refreshedDate="46280.575650578707" createdVersion="8" refreshedVersion="8" minRefreshableVersion="3" recordCount="295" xr:uid="{4469E7EF-0247-4BAA-BFF2-D646D3C3EF42}">
  <cacheSource type="worksheet">
    <worksheetSource name="Tabela1__3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22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ovação" numFmtId="0">
      <sharedItems count="2">
        <s v="Sim"/>
        <s v="Não"/>
      </sharedItems>
    </cacheField>
    <cacheField name="Preço de assinatura" numFmtId="0">
      <sharedItems containsSemiMixedTypes="0" containsString="0" containsNumber="1" containsInteger="1" minValue="5" maxValue="15" count="3">
        <n v="15"/>
        <n v="5"/>
        <n v="10"/>
      </sharedItems>
    </cacheField>
    <cacheField name="Tipo de Assinatura" numFmtId="0">
      <sharedItems count="3">
        <s v="Mensal"/>
        <s v="Anual"/>
        <s v="Trimestral"/>
      </sharedItems>
    </cacheField>
    <cacheField name="EA Play Season Pass" numFmtId="0">
      <sharedItems/>
    </cacheField>
    <cacheField name="EA Play Season Pass_x000a_Price" numFmtId="0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0">
      <sharedItems containsSemiMixedTypes="0" containsString="0" containsNumber="1" containsInteger="1" minValue="0" maxValue="20"/>
    </cacheField>
    <cacheField name="Coupon Value" numFmtId="0">
      <sharedItems containsSemiMixedTypes="0" containsString="0" containsNumber="1" containsInteger="1" minValue="0" maxValue="20"/>
    </cacheField>
    <cacheField name="Total Value" numFmtId="0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73874556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e silva" refreshedDate="46280.624973032405" createdVersion="8" refreshedVersion="8" minRefreshableVersion="3" recordCount="1" xr:uid="{E7F5DB8B-95D8-47B6-86AA-D1554CFDA941}">
  <cacheSource type="worksheet">
    <worksheetSource name="Tabela10"/>
  </cacheSource>
  <cacheFields count="2">
    <cacheField name="Lucro" numFmtId="44">
      <sharedItems containsSemiMixedTypes="0" containsString="0" containsNumber="1" containsInteger="1" minValue="7633" maxValue="7633" count="1">
        <n v="7633"/>
      </sharedItems>
    </cacheField>
    <cacheField name="Lucro (ANO ANTERIOR)" numFmtId="44">
      <sharedItems containsSemiMixedTypes="0" containsString="0" containsNumber="1" containsInteger="1" minValue="6512" maxValue="65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x v="0"/>
    <x v="0"/>
    <s v="Sim"/>
    <n v="30"/>
    <s v="Sim"/>
    <n v="20"/>
    <n v="5"/>
    <n v="60"/>
  </r>
  <r>
    <n v="3232"/>
    <x v="1"/>
    <x v="1"/>
    <x v="1"/>
    <x v="1"/>
    <x v="1"/>
    <x v="1"/>
    <s v="Não"/>
    <s v="-"/>
    <s v="Não"/>
    <n v="0"/>
    <n v="0"/>
    <n v="5"/>
  </r>
  <r>
    <n v="3233"/>
    <x v="2"/>
    <x v="2"/>
    <x v="2"/>
    <x v="0"/>
    <x v="2"/>
    <x v="2"/>
    <s v="Não"/>
    <s v="-"/>
    <s v="Sim"/>
    <n v="20"/>
    <n v="10"/>
    <n v="20"/>
  </r>
  <r>
    <n v="3234"/>
    <x v="3"/>
    <x v="0"/>
    <x v="3"/>
    <x v="1"/>
    <x v="0"/>
    <x v="0"/>
    <s v="Sim"/>
    <n v="30"/>
    <s v="Sim"/>
    <n v="20"/>
    <n v="3"/>
    <n v="62"/>
  </r>
  <r>
    <n v="3235"/>
    <x v="4"/>
    <x v="1"/>
    <x v="4"/>
    <x v="0"/>
    <x v="1"/>
    <x v="0"/>
    <s v="Não"/>
    <s v="-"/>
    <s v="Não"/>
    <n v="0"/>
    <n v="1"/>
    <n v="4"/>
  </r>
  <r>
    <n v="3236"/>
    <x v="5"/>
    <x v="2"/>
    <x v="5"/>
    <x v="1"/>
    <x v="2"/>
    <x v="0"/>
    <s v="Não"/>
    <s v="-"/>
    <s v="Sim"/>
    <n v="20"/>
    <n v="2"/>
    <n v="28"/>
  </r>
  <r>
    <n v="3237"/>
    <x v="6"/>
    <x v="0"/>
    <x v="6"/>
    <x v="0"/>
    <x v="0"/>
    <x v="2"/>
    <s v="Sim"/>
    <n v="30"/>
    <s v="Sim"/>
    <n v="20"/>
    <n v="10"/>
    <n v="55"/>
  </r>
  <r>
    <n v="3238"/>
    <x v="7"/>
    <x v="1"/>
    <x v="7"/>
    <x v="0"/>
    <x v="1"/>
    <x v="1"/>
    <s v="Não"/>
    <s v="-"/>
    <s v="Não"/>
    <n v="0"/>
    <n v="0"/>
    <n v="5"/>
  </r>
  <r>
    <n v="3239"/>
    <x v="8"/>
    <x v="0"/>
    <x v="4"/>
    <x v="1"/>
    <x v="0"/>
    <x v="0"/>
    <s v="Sim"/>
    <n v="30"/>
    <s v="Sim"/>
    <n v="20"/>
    <n v="5"/>
    <n v="60"/>
  </r>
  <r>
    <n v="3240"/>
    <x v="9"/>
    <x v="2"/>
    <x v="8"/>
    <x v="0"/>
    <x v="2"/>
    <x v="2"/>
    <s v="Não"/>
    <s v="-"/>
    <s v="Sim"/>
    <n v="20"/>
    <n v="15"/>
    <n v="15"/>
  </r>
  <r>
    <n v="3241"/>
    <x v="10"/>
    <x v="1"/>
    <x v="9"/>
    <x v="1"/>
    <x v="1"/>
    <x v="0"/>
    <s v="Não"/>
    <s v="-"/>
    <s v="Não"/>
    <n v="0"/>
    <n v="1"/>
    <n v="4"/>
  </r>
  <r>
    <n v="3242"/>
    <x v="11"/>
    <x v="0"/>
    <x v="10"/>
    <x v="0"/>
    <x v="0"/>
    <x v="1"/>
    <s v="Sim"/>
    <n v="30"/>
    <s v="Sim"/>
    <n v="20"/>
    <n v="20"/>
    <n v="45"/>
  </r>
  <r>
    <n v="3243"/>
    <x v="12"/>
    <x v="2"/>
    <x v="11"/>
    <x v="1"/>
    <x v="2"/>
    <x v="0"/>
    <s v="Não"/>
    <s v="-"/>
    <s v="Sim"/>
    <n v="20"/>
    <n v="10"/>
    <n v="20"/>
  </r>
  <r>
    <n v="3244"/>
    <x v="13"/>
    <x v="1"/>
    <x v="12"/>
    <x v="0"/>
    <x v="1"/>
    <x v="2"/>
    <s v="Não"/>
    <s v="-"/>
    <s v="Não"/>
    <n v="0"/>
    <n v="0"/>
    <n v="5"/>
  </r>
  <r>
    <n v="3245"/>
    <x v="14"/>
    <x v="0"/>
    <x v="13"/>
    <x v="1"/>
    <x v="0"/>
    <x v="0"/>
    <s v="Sim"/>
    <n v="30"/>
    <s v="Sim"/>
    <n v="20"/>
    <n v="8"/>
    <n v="57"/>
  </r>
  <r>
    <n v="3246"/>
    <x v="15"/>
    <x v="2"/>
    <x v="14"/>
    <x v="0"/>
    <x v="2"/>
    <x v="1"/>
    <s v="Não"/>
    <s v="-"/>
    <s v="Sim"/>
    <n v="20"/>
    <n v="12"/>
    <n v="18"/>
  </r>
  <r>
    <n v="3247"/>
    <x v="16"/>
    <x v="1"/>
    <x v="15"/>
    <x v="1"/>
    <x v="1"/>
    <x v="0"/>
    <s v="Não"/>
    <s v="-"/>
    <s v="Não"/>
    <n v="0"/>
    <n v="2"/>
    <n v="3"/>
  </r>
  <r>
    <n v="3248"/>
    <x v="17"/>
    <x v="0"/>
    <x v="16"/>
    <x v="0"/>
    <x v="0"/>
    <x v="2"/>
    <s v="Sim"/>
    <n v="30"/>
    <s v="Sim"/>
    <n v="20"/>
    <n v="7"/>
    <n v="58"/>
  </r>
  <r>
    <n v="3249"/>
    <x v="18"/>
    <x v="2"/>
    <x v="17"/>
    <x v="1"/>
    <x v="2"/>
    <x v="0"/>
    <s v="Não"/>
    <s v="-"/>
    <s v="Sim"/>
    <n v="20"/>
    <n v="5"/>
    <n v="25"/>
  </r>
  <r>
    <n v="3250"/>
    <x v="19"/>
    <x v="1"/>
    <x v="18"/>
    <x v="0"/>
    <x v="1"/>
    <x v="1"/>
    <s v="Não"/>
    <s v="-"/>
    <s v="Não"/>
    <n v="0"/>
    <n v="0"/>
    <n v="5"/>
  </r>
  <r>
    <n v="3251"/>
    <x v="20"/>
    <x v="0"/>
    <x v="19"/>
    <x v="1"/>
    <x v="0"/>
    <x v="0"/>
    <s v="Sim"/>
    <n v="30"/>
    <s v="Sim"/>
    <n v="20"/>
    <n v="3"/>
    <n v="62"/>
  </r>
  <r>
    <n v="3252"/>
    <x v="21"/>
    <x v="2"/>
    <x v="20"/>
    <x v="0"/>
    <x v="2"/>
    <x v="2"/>
    <s v="Não"/>
    <s v="-"/>
    <s v="Sim"/>
    <n v="20"/>
    <n v="15"/>
    <n v="15"/>
  </r>
  <r>
    <n v="3253"/>
    <x v="22"/>
    <x v="1"/>
    <x v="21"/>
    <x v="1"/>
    <x v="1"/>
    <x v="0"/>
    <s v="Não"/>
    <s v="-"/>
    <s v="Não"/>
    <n v="0"/>
    <n v="1"/>
    <n v="4"/>
  </r>
  <r>
    <n v="3254"/>
    <x v="23"/>
    <x v="0"/>
    <x v="22"/>
    <x v="0"/>
    <x v="0"/>
    <x v="1"/>
    <s v="Sim"/>
    <n v="30"/>
    <s v="Sim"/>
    <n v="20"/>
    <n v="20"/>
    <n v="45"/>
  </r>
  <r>
    <n v="3255"/>
    <x v="24"/>
    <x v="2"/>
    <x v="23"/>
    <x v="1"/>
    <x v="2"/>
    <x v="0"/>
    <s v="Não"/>
    <s v="-"/>
    <s v="Sim"/>
    <n v="20"/>
    <n v="10"/>
    <n v="20"/>
  </r>
  <r>
    <n v="3256"/>
    <x v="25"/>
    <x v="1"/>
    <x v="24"/>
    <x v="0"/>
    <x v="1"/>
    <x v="2"/>
    <s v="Não"/>
    <s v="-"/>
    <s v="Não"/>
    <n v="0"/>
    <n v="0"/>
    <n v="5"/>
  </r>
  <r>
    <n v="3257"/>
    <x v="26"/>
    <x v="0"/>
    <x v="25"/>
    <x v="1"/>
    <x v="0"/>
    <x v="0"/>
    <s v="Sim"/>
    <n v="30"/>
    <s v="Sim"/>
    <n v="20"/>
    <n v="5"/>
    <n v="60"/>
  </r>
  <r>
    <n v="3258"/>
    <x v="27"/>
    <x v="2"/>
    <x v="26"/>
    <x v="0"/>
    <x v="2"/>
    <x v="1"/>
    <s v="Não"/>
    <s v="-"/>
    <s v="Sim"/>
    <n v="20"/>
    <n v="15"/>
    <n v="15"/>
  </r>
  <r>
    <n v="3259"/>
    <x v="28"/>
    <x v="1"/>
    <x v="27"/>
    <x v="1"/>
    <x v="1"/>
    <x v="0"/>
    <s v="Não"/>
    <s v="-"/>
    <s v="Não"/>
    <n v="0"/>
    <n v="1"/>
    <n v="4"/>
  </r>
  <r>
    <n v="3260"/>
    <x v="29"/>
    <x v="0"/>
    <x v="28"/>
    <x v="0"/>
    <x v="0"/>
    <x v="2"/>
    <s v="Sim"/>
    <n v="30"/>
    <s v="Sim"/>
    <n v="20"/>
    <n v="7"/>
    <n v="58"/>
  </r>
  <r>
    <n v="3261"/>
    <x v="30"/>
    <x v="2"/>
    <x v="29"/>
    <x v="1"/>
    <x v="2"/>
    <x v="0"/>
    <s v="Não"/>
    <s v="-"/>
    <s v="Sim"/>
    <n v="20"/>
    <n v="10"/>
    <n v="20"/>
  </r>
  <r>
    <n v="3262"/>
    <x v="31"/>
    <x v="1"/>
    <x v="30"/>
    <x v="0"/>
    <x v="1"/>
    <x v="1"/>
    <s v="Não"/>
    <s v="-"/>
    <s v="Não"/>
    <n v="0"/>
    <n v="0"/>
    <n v="5"/>
  </r>
  <r>
    <n v="3263"/>
    <x v="32"/>
    <x v="0"/>
    <x v="31"/>
    <x v="1"/>
    <x v="0"/>
    <x v="0"/>
    <s v="Sim"/>
    <n v="30"/>
    <s v="Sim"/>
    <n v="20"/>
    <n v="3"/>
    <n v="62"/>
  </r>
  <r>
    <n v="3264"/>
    <x v="33"/>
    <x v="2"/>
    <x v="32"/>
    <x v="0"/>
    <x v="2"/>
    <x v="2"/>
    <s v="Não"/>
    <s v="-"/>
    <s v="Sim"/>
    <n v="20"/>
    <n v="15"/>
    <n v="15"/>
  </r>
  <r>
    <n v="3265"/>
    <x v="34"/>
    <x v="1"/>
    <x v="33"/>
    <x v="1"/>
    <x v="1"/>
    <x v="0"/>
    <s v="Não"/>
    <s v="-"/>
    <s v="Não"/>
    <n v="0"/>
    <n v="1"/>
    <n v="4"/>
  </r>
  <r>
    <n v="3266"/>
    <x v="35"/>
    <x v="1"/>
    <x v="34"/>
    <x v="0"/>
    <x v="1"/>
    <x v="0"/>
    <s v="Não"/>
    <s v="-"/>
    <s v="Não"/>
    <n v="0"/>
    <n v="0"/>
    <n v="5"/>
  </r>
  <r>
    <n v="3267"/>
    <x v="36"/>
    <x v="0"/>
    <x v="35"/>
    <x v="1"/>
    <x v="0"/>
    <x v="2"/>
    <s v="Sim"/>
    <n v="30"/>
    <s v="Sim"/>
    <n v="20"/>
    <n v="7"/>
    <n v="58"/>
  </r>
  <r>
    <n v="3268"/>
    <x v="37"/>
    <x v="2"/>
    <x v="36"/>
    <x v="0"/>
    <x v="2"/>
    <x v="1"/>
    <s v="Não"/>
    <s v="-"/>
    <s v="Sim"/>
    <n v="20"/>
    <n v="10"/>
    <n v="20"/>
  </r>
  <r>
    <n v="3269"/>
    <x v="38"/>
    <x v="1"/>
    <x v="37"/>
    <x v="1"/>
    <x v="1"/>
    <x v="2"/>
    <s v="Não"/>
    <s v="-"/>
    <s v="Não"/>
    <n v="0"/>
    <n v="1"/>
    <n v="4"/>
  </r>
  <r>
    <n v="3270"/>
    <x v="39"/>
    <x v="0"/>
    <x v="38"/>
    <x v="0"/>
    <x v="0"/>
    <x v="0"/>
    <s v="Sim"/>
    <n v="30"/>
    <s v="Sim"/>
    <n v="20"/>
    <n v="15"/>
    <n v="50"/>
  </r>
  <r>
    <n v="3271"/>
    <x v="40"/>
    <x v="2"/>
    <x v="39"/>
    <x v="1"/>
    <x v="2"/>
    <x v="0"/>
    <s v="Não"/>
    <s v="-"/>
    <s v="Sim"/>
    <n v="20"/>
    <n v="5"/>
    <n v="25"/>
  </r>
  <r>
    <n v="3272"/>
    <x v="41"/>
    <x v="1"/>
    <x v="40"/>
    <x v="0"/>
    <x v="1"/>
    <x v="1"/>
    <s v="Não"/>
    <s v="-"/>
    <s v="Não"/>
    <n v="0"/>
    <n v="0"/>
    <n v="5"/>
  </r>
  <r>
    <n v="3273"/>
    <x v="42"/>
    <x v="0"/>
    <x v="41"/>
    <x v="1"/>
    <x v="0"/>
    <x v="2"/>
    <s v="Sim"/>
    <n v="30"/>
    <s v="Sim"/>
    <n v="20"/>
    <n v="20"/>
    <n v="45"/>
  </r>
  <r>
    <n v="3274"/>
    <x v="43"/>
    <x v="2"/>
    <x v="42"/>
    <x v="0"/>
    <x v="2"/>
    <x v="2"/>
    <s v="Não"/>
    <s v="-"/>
    <s v="Sim"/>
    <n v="20"/>
    <n v="12"/>
    <n v="18"/>
  </r>
  <r>
    <n v="3275"/>
    <x v="44"/>
    <x v="1"/>
    <x v="43"/>
    <x v="1"/>
    <x v="1"/>
    <x v="0"/>
    <s v="Não"/>
    <s v="-"/>
    <s v="Não"/>
    <n v="0"/>
    <n v="2"/>
    <n v="3"/>
  </r>
  <r>
    <n v="3276"/>
    <x v="45"/>
    <x v="0"/>
    <x v="44"/>
    <x v="0"/>
    <x v="0"/>
    <x v="1"/>
    <s v="Sim"/>
    <n v="30"/>
    <s v="Sim"/>
    <n v="20"/>
    <n v="5"/>
    <n v="60"/>
  </r>
  <r>
    <n v="3277"/>
    <x v="46"/>
    <x v="2"/>
    <x v="45"/>
    <x v="1"/>
    <x v="2"/>
    <x v="0"/>
    <s v="Não"/>
    <s v="-"/>
    <s v="Sim"/>
    <n v="20"/>
    <n v="10"/>
    <n v="20"/>
  </r>
  <r>
    <n v="3278"/>
    <x v="47"/>
    <x v="1"/>
    <x v="46"/>
    <x v="0"/>
    <x v="1"/>
    <x v="2"/>
    <s v="Não"/>
    <s v="-"/>
    <s v="Não"/>
    <n v="0"/>
    <n v="0"/>
    <n v="5"/>
  </r>
  <r>
    <n v="3279"/>
    <x v="48"/>
    <x v="0"/>
    <x v="47"/>
    <x v="1"/>
    <x v="0"/>
    <x v="0"/>
    <s v="Sim"/>
    <n v="30"/>
    <s v="Sim"/>
    <n v="20"/>
    <n v="3"/>
    <n v="62"/>
  </r>
  <r>
    <n v="3280"/>
    <x v="49"/>
    <x v="2"/>
    <x v="48"/>
    <x v="0"/>
    <x v="2"/>
    <x v="1"/>
    <s v="Não"/>
    <s v="-"/>
    <s v="Sim"/>
    <n v="20"/>
    <n v="15"/>
    <n v="15"/>
  </r>
  <r>
    <n v="3281"/>
    <x v="50"/>
    <x v="1"/>
    <x v="49"/>
    <x v="1"/>
    <x v="1"/>
    <x v="0"/>
    <s v="Não"/>
    <s v="-"/>
    <s v="Não"/>
    <n v="0"/>
    <n v="1"/>
    <n v="4"/>
  </r>
  <r>
    <n v="3282"/>
    <x v="51"/>
    <x v="0"/>
    <x v="50"/>
    <x v="0"/>
    <x v="0"/>
    <x v="2"/>
    <s v="Sim"/>
    <n v="30"/>
    <s v="Sim"/>
    <n v="20"/>
    <n v="7"/>
    <n v="58"/>
  </r>
  <r>
    <n v="3283"/>
    <x v="52"/>
    <x v="2"/>
    <x v="51"/>
    <x v="1"/>
    <x v="2"/>
    <x v="0"/>
    <s v="Não"/>
    <s v="-"/>
    <s v="Sim"/>
    <n v="20"/>
    <n v="10"/>
    <n v="20"/>
  </r>
  <r>
    <n v="3284"/>
    <x v="53"/>
    <x v="1"/>
    <x v="52"/>
    <x v="0"/>
    <x v="1"/>
    <x v="1"/>
    <s v="Não"/>
    <s v="-"/>
    <s v="Não"/>
    <n v="0"/>
    <n v="0"/>
    <n v="5"/>
  </r>
  <r>
    <n v="3285"/>
    <x v="54"/>
    <x v="0"/>
    <x v="53"/>
    <x v="1"/>
    <x v="0"/>
    <x v="0"/>
    <s v="Sim"/>
    <n v="30"/>
    <s v="Sim"/>
    <n v="20"/>
    <n v="20"/>
    <n v="45"/>
  </r>
  <r>
    <n v="3286"/>
    <x v="55"/>
    <x v="2"/>
    <x v="54"/>
    <x v="0"/>
    <x v="2"/>
    <x v="2"/>
    <s v="Não"/>
    <s v="-"/>
    <s v="Sim"/>
    <n v="20"/>
    <n v="15"/>
    <n v="15"/>
  </r>
  <r>
    <n v="3287"/>
    <x v="56"/>
    <x v="1"/>
    <x v="55"/>
    <x v="1"/>
    <x v="1"/>
    <x v="0"/>
    <s v="Não"/>
    <s v="-"/>
    <s v="Não"/>
    <n v="0"/>
    <n v="1"/>
    <n v="4"/>
  </r>
  <r>
    <n v="3288"/>
    <x v="57"/>
    <x v="0"/>
    <x v="56"/>
    <x v="0"/>
    <x v="0"/>
    <x v="1"/>
    <s v="Sim"/>
    <n v="30"/>
    <s v="Sim"/>
    <n v="20"/>
    <n v="3"/>
    <n v="62"/>
  </r>
  <r>
    <n v="3289"/>
    <x v="58"/>
    <x v="2"/>
    <x v="57"/>
    <x v="1"/>
    <x v="2"/>
    <x v="0"/>
    <s v="Não"/>
    <s v="-"/>
    <s v="Sim"/>
    <n v="20"/>
    <n v="10"/>
    <n v="20"/>
  </r>
  <r>
    <n v="3290"/>
    <x v="59"/>
    <x v="1"/>
    <x v="58"/>
    <x v="0"/>
    <x v="1"/>
    <x v="2"/>
    <s v="Não"/>
    <s v="-"/>
    <s v="Não"/>
    <n v="0"/>
    <n v="0"/>
    <n v="5"/>
  </r>
  <r>
    <n v="3291"/>
    <x v="60"/>
    <x v="0"/>
    <x v="59"/>
    <x v="1"/>
    <x v="0"/>
    <x v="0"/>
    <s v="Sim"/>
    <n v="30"/>
    <s v="Sim"/>
    <n v="20"/>
    <n v="5"/>
    <n v="60"/>
  </r>
  <r>
    <n v="3292"/>
    <x v="61"/>
    <x v="2"/>
    <x v="60"/>
    <x v="0"/>
    <x v="2"/>
    <x v="1"/>
    <s v="Não"/>
    <s v="-"/>
    <s v="Sim"/>
    <n v="20"/>
    <n v="15"/>
    <n v="15"/>
  </r>
  <r>
    <n v="3293"/>
    <x v="62"/>
    <x v="1"/>
    <x v="61"/>
    <x v="1"/>
    <x v="1"/>
    <x v="0"/>
    <s v="Não"/>
    <s v="-"/>
    <s v="Não"/>
    <n v="0"/>
    <n v="1"/>
    <n v="4"/>
  </r>
  <r>
    <n v="3294"/>
    <x v="63"/>
    <x v="0"/>
    <x v="62"/>
    <x v="0"/>
    <x v="0"/>
    <x v="2"/>
    <s v="Sim"/>
    <n v="30"/>
    <s v="Sim"/>
    <n v="20"/>
    <n v="20"/>
    <n v="45"/>
  </r>
  <r>
    <n v="3295"/>
    <x v="64"/>
    <x v="2"/>
    <x v="63"/>
    <x v="1"/>
    <x v="2"/>
    <x v="0"/>
    <s v="Não"/>
    <s v="-"/>
    <s v="Sim"/>
    <n v="20"/>
    <n v="5"/>
    <n v="25"/>
  </r>
  <r>
    <n v="3296"/>
    <x v="65"/>
    <x v="1"/>
    <x v="64"/>
    <x v="1"/>
    <x v="1"/>
    <x v="0"/>
    <s v="Não"/>
    <s v="-"/>
    <s v="Não"/>
    <n v="0"/>
    <n v="0"/>
    <n v="5"/>
  </r>
  <r>
    <n v="3297"/>
    <x v="66"/>
    <x v="0"/>
    <x v="65"/>
    <x v="0"/>
    <x v="0"/>
    <x v="2"/>
    <s v="Sim"/>
    <n v="30"/>
    <s v="Sim"/>
    <n v="20"/>
    <n v="7"/>
    <n v="58"/>
  </r>
  <r>
    <n v="3298"/>
    <x v="67"/>
    <x v="2"/>
    <x v="66"/>
    <x v="1"/>
    <x v="2"/>
    <x v="1"/>
    <s v="Não"/>
    <s v="-"/>
    <s v="Sim"/>
    <n v="20"/>
    <n v="10"/>
    <n v="20"/>
  </r>
  <r>
    <n v="3299"/>
    <x v="68"/>
    <x v="1"/>
    <x v="67"/>
    <x v="0"/>
    <x v="1"/>
    <x v="2"/>
    <s v="Não"/>
    <s v="-"/>
    <s v="Não"/>
    <n v="0"/>
    <n v="1"/>
    <n v="4"/>
  </r>
  <r>
    <n v="3300"/>
    <x v="69"/>
    <x v="0"/>
    <x v="68"/>
    <x v="1"/>
    <x v="0"/>
    <x v="0"/>
    <s v="Sim"/>
    <n v="30"/>
    <s v="Sim"/>
    <n v="20"/>
    <n v="15"/>
    <n v="50"/>
  </r>
  <r>
    <n v="3301"/>
    <x v="70"/>
    <x v="2"/>
    <x v="69"/>
    <x v="0"/>
    <x v="2"/>
    <x v="0"/>
    <s v="Não"/>
    <s v="-"/>
    <s v="Sim"/>
    <n v="20"/>
    <n v="5"/>
    <n v="25"/>
  </r>
  <r>
    <n v="3302"/>
    <x v="71"/>
    <x v="1"/>
    <x v="70"/>
    <x v="1"/>
    <x v="1"/>
    <x v="1"/>
    <s v="Não"/>
    <s v="-"/>
    <s v="Não"/>
    <n v="0"/>
    <n v="0"/>
    <n v="5"/>
  </r>
  <r>
    <n v="3303"/>
    <x v="72"/>
    <x v="0"/>
    <x v="71"/>
    <x v="0"/>
    <x v="0"/>
    <x v="2"/>
    <s v="Sim"/>
    <n v="30"/>
    <s v="Sim"/>
    <n v="20"/>
    <n v="20"/>
    <n v="45"/>
  </r>
  <r>
    <n v="3304"/>
    <x v="73"/>
    <x v="2"/>
    <x v="72"/>
    <x v="1"/>
    <x v="2"/>
    <x v="2"/>
    <s v="Não"/>
    <s v="-"/>
    <s v="Sim"/>
    <n v="20"/>
    <n v="12"/>
    <n v="18"/>
  </r>
  <r>
    <n v="3305"/>
    <x v="74"/>
    <x v="1"/>
    <x v="73"/>
    <x v="0"/>
    <x v="1"/>
    <x v="0"/>
    <s v="Não"/>
    <s v="-"/>
    <s v="Não"/>
    <n v="0"/>
    <n v="2"/>
    <n v="3"/>
  </r>
  <r>
    <n v="3306"/>
    <x v="75"/>
    <x v="0"/>
    <x v="74"/>
    <x v="1"/>
    <x v="0"/>
    <x v="1"/>
    <s v="Sim"/>
    <n v="30"/>
    <s v="Sim"/>
    <n v="20"/>
    <n v="5"/>
    <n v="60"/>
  </r>
  <r>
    <n v="3307"/>
    <x v="76"/>
    <x v="2"/>
    <x v="75"/>
    <x v="0"/>
    <x v="2"/>
    <x v="0"/>
    <s v="Não"/>
    <s v="-"/>
    <s v="Sim"/>
    <n v="20"/>
    <n v="10"/>
    <n v="20"/>
  </r>
  <r>
    <n v="3308"/>
    <x v="77"/>
    <x v="1"/>
    <x v="76"/>
    <x v="1"/>
    <x v="1"/>
    <x v="2"/>
    <s v="Não"/>
    <s v="-"/>
    <s v="Não"/>
    <n v="0"/>
    <n v="0"/>
    <n v="5"/>
  </r>
  <r>
    <n v="3309"/>
    <x v="78"/>
    <x v="0"/>
    <x v="77"/>
    <x v="0"/>
    <x v="0"/>
    <x v="0"/>
    <s v="Sim"/>
    <n v="30"/>
    <s v="Sim"/>
    <n v="20"/>
    <n v="3"/>
    <n v="62"/>
  </r>
  <r>
    <n v="3310"/>
    <x v="79"/>
    <x v="2"/>
    <x v="78"/>
    <x v="1"/>
    <x v="2"/>
    <x v="1"/>
    <s v="Não"/>
    <s v="-"/>
    <s v="Sim"/>
    <n v="20"/>
    <n v="15"/>
    <n v="15"/>
  </r>
  <r>
    <n v="3311"/>
    <x v="80"/>
    <x v="1"/>
    <x v="79"/>
    <x v="0"/>
    <x v="1"/>
    <x v="0"/>
    <s v="Não"/>
    <s v="-"/>
    <s v="Não"/>
    <n v="0"/>
    <n v="1"/>
    <n v="4"/>
  </r>
  <r>
    <n v="3312"/>
    <x v="81"/>
    <x v="0"/>
    <x v="80"/>
    <x v="1"/>
    <x v="0"/>
    <x v="2"/>
    <s v="Sim"/>
    <n v="30"/>
    <s v="Sim"/>
    <n v="20"/>
    <n v="7"/>
    <n v="58"/>
  </r>
  <r>
    <n v="3313"/>
    <x v="82"/>
    <x v="2"/>
    <x v="81"/>
    <x v="0"/>
    <x v="2"/>
    <x v="0"/>
    <s v="Não"/>
    <s v="-"/>
    <s v="Sim"/>
    <n v="20"/>
    <n v="10"/>
    <n v="20"/>
  </r>
  <r>
    <n v="3314"/>
    <x v="83"/>
    <x v="1"/>
    <x v="82"/>
    <x v="1"/>
    <x v="1"/>
    <x v="1"/>
    <s v="Não"/>
    <s v="-"/>
    <s v="Não"/>
    <n v="0"/>
    <n v="0"/>
    <n v="5"/>
  </r>
  <r>
    <n v="3315"/>
    <x v="84"/>
    <x v="0"/>
    <x v="83"/>
    <x v="0"/>
    <x v="0"/>
    <x v="0"/>
    <s v="Sim"/>
    <n v="30"/>
    <s v="Sim"/>
    <n v="20"/>
    <n v="20"/>
    <n v="45"/>
  </r>
  <r>
    <n v="3316"/>
    <x v="85"/>
    <x v="2"/>
    <x v="84"/>
    <x v="1"/>
    <x v="2"/>
    <x v="2"/>
    <s v="Não"/>
    <s v="-"/>
    <s v="Sim"/>
    <n v="20"/>
    <n v="15"/>
    <n v="15"/>
  </r>
  <r>
    <n v="3317"/>
    <x v="86"/>
    <x v="1"/>
    <x v="85"/>
    <x v="0"/>
    <x v="1"/>
    <x v="0"/>
    <s v="Não"/>
    <s v="-"/>
    <s v="Não"/>
    <n v="0"/>
    <n v="1"/>
    <n v="4"/>
  </r>
  <r>
    <n v="3318"/>
    <x v="87"/>
    <x v="0"/>
    <x v="86"/>
    <x v="1"/>
    <x v="0"/>
    <x v="1"/>
    <s v="Sim"/>
    <n v="30"/>
    <s v="Sim"/>
    <n v="20"/>
    <n v="3"/>
    <n v="62"/>
  </r>
  <r>
    <n v="3319"/>
    <x v="88"/>
    <x v="2"/>
    <x v="87"/>
    <x v="0"/>
    <x v="2"/>
    <x v="0"/>
    <s v="Não"/>
    <s v="-"/>
    <s v="Sim"/>
    <n v="20"/>
    <n v="10"/>
    <n v="20"/>
  </r>
  <r>
    <n v="3320"/>
    <x v="89"/>
    <x v="1"/>
    <x v="88"/>
    <x v="1"/>
    <x v="1"/>
    <x v="2"/>
    <s v="Não"/>
    <s v="-"/>
    <s v="Não"/>
    <n v="0"/>
    <n v="0"/>
    <n v="5"/>
  </r>
  <r>
    <n v="3321"/>
    <x v="90"/>
    <x v="0"/>
    <x v="89"/>
    <x v="0"/>
    <x v="0"/>
    <x v="0"/>
    <s v="Sim"/>
    <n v="30"/>
    <s v="Sim"/>
    <n v="20"/>
    <n v="5"/>
    <n v="60"/>
  </r>
  <r>
    <n v="3322"/>
    <x v="91"/>
    <x v="2"/>
    <x v="90"/>
    <x v="1"/>
    <x v="2"/>
    <x v="1"/>
    <s v="Não"/>
    <s v="-"/>
    <s v="Sim"/>
    <n v="20"/>
    <n v="15"/>
    <n v="15"/>
  </r>
  <r>
    <n v="3323"/>
    <x v="92"/>
    <x v="1"/>
    <x v="91"/>
    <x v="0"/>
    <x v="1"/>
    <x v="0"/>
    <s v="Não"/>
    <s v="-"/>
    <s v="Não"/>
    <n v="0"/>
    <n v="1"/>
    <n v="4"/>
  </r>
  <r>
    <n v="3324"/>
    <x v="93"/>
    <x v="0"/>
    <x v="92"/>
    <x v="1"/>
    <x v="0"/>
    <x v="2"/>
    <s v="Sim"/>
    <n v="30"/>
    <s v="Sim"/>
    <n v="20"/>
    <n v="20"/>
    <n v="45"/>
  </r>
  <r>
    <n v="3325"/>
    <x v="94"/>
    <x v="2"/>
    <x v="93"/>
    <x v="0"/>
    <x v="2"/>
    <x v="2"/>
    <s v="Não"/>
    <s v="-"/>
    <s v="Sim"/>
    <n v="20"/>
    <n v="15"/>
    <n v="15"/>
  </r>
  <r>
    <n v="3326"/>
    <x v="95"/>
    <x v="1"/>
    <x v="94"/>
    <x v="1"/>
    <x v="1"/>
    <x v="1"/>
    <s v="Não"/>
    <s v="-"/>
    <s v="Não"/>
    <n v="0"/>
    <n v="0"/>
    <n v="5"/>
  </r>
  <r>
    <n v="3327"/>
    <x v="96"/>
    <x v="0"/>
    <x v="95"/>
    <x v="0"/>
    <x v="0"/>
    <x v="0"/>
    <s v="Sim"/>
    <n v="30"/>
    <s v="Sim"/>
    <n v="20"/>
    <n v="7"/>
    <n v="58"/>
  </r>
  <r>
    <n v="3328"/>
    <x v="97"/>
    <x v="2"/>
    <x v="96"/>
    <x v="1"/>
    <x v="2"/>
    <x v="1"/>
    <s v="Não"/>
    <s v="-"/>
    <s v="Sim"/>
    <n v="20"/>
    <n v="10"/>
    <n v="20"/>
  </r>
  <r>
    <n v="3329"/>
    <x v="98"/>
    <x v="1"/>
    <x v="97"/>
    <x v="0"/>
    <x v="1"/>
    <x v="2"/>
    <s v="Não"/>
    <s v="-"/>
    <s v="Não"/>
    <n v="0"/>
    <n v="1"/>
    <n v="4"/>
  </r>
  <r>
    <n v="3330"/>
    <x v="99"/>
    <x v="0"/>
    <x v="98"/>
    <x v="1"/>
    <x v="0"/>
    <x v="0"/>
    <s v="Sim"/>
    <n v="30"/>
    <s v="Sim"/>
    <n v="20"/>
    <n v="15"/>
    <n v="50"/>
  </r>
  <r>
    <n v="3331"/>
    <x v="100"/>
    <x v="2"/>
    <x v="99"/>
    <x v="0"/>
    <x v="2"/>
    <x v="0"/>
    <s v="Não"/>
    <s v="-"/>
    <s v="Sim"/>
    <n v="20"/>
    <n v="5"/>
    <n v="25"/>
  </r>
  <r>
    <n v="3332"/>
    <x v="101"/>
    <x v="1"/>
    <x v="100"/>
    <x v="1"/>
    <x v="1"/>
    <x v="1"/>
    <s v="Não"/>
    <s v="-"/>
    <s v="Não"/>
    <n v="0"/>
    <n v="0"/>
    <n v="5"/>
  </r>
  <r>
    <n v="3333"/>
    <x v="102"/>
    <x v="0"/>
    <x v="101"/>
    <x v="0"/>
    <x v="0"/>
    <x v="2"/>
    <s v="Sim"/>
    <n v="30"/>
    <s v="Sim"/>
    <n v="20"/>
    <n v="20"/>
    <n v="45"/>
  </r>
  <r>
    <n v="3334"/>
    <x v="103"/>
    <x v="2"/>
    <x v="102"/>
    <x v="1"/>
    <x v="2"/>
    <x v="2"/>
    <s v="Não"/>
    <s v="-"/>
    <s v="Sim"/>
    <n v="20"/>
    <n v="12"/>
    <n v="18"/>
  </r>
  <r>
    <n v="3335"/>
    <x v="104"/>
    <x v="1"/>
    <x v="103"/>
    <x v="0"/>
    <x v="1"/>
    <x v="0"/>
    <s v="Não"/>
    <s v="-"/>
    <s v="Não"/>
    <n v="0"/>
    <n v="2"/>
    <n v="3"/>
  </r>
  <r>
    <n v="3336"/>
    <x v="105"/>
    <x v="1"/>
    <x v="104"/>
    <x v="0"/>
    <x v="1"/>
    <x v="0"/>
    <s v="Não"/>
    <s v="-"/>
    <s v="Não"/>
    <n v="0"/>
    <n v="0"/>
    <n v="5"/>
  </r>
  <r>
    <n v="3337"/>
    <x v="106"/>
    <x v="0"/>
    <x v="105"/>
    <x v="1"/>
    <x v="0"/>
    <x v="2"/>
    <s v="Sim"/>
    <n v="30"/>
    <s v="Sim"/>
    <n v="20"/>
    <n v="7"/>
    <n v="58"/>
  </r>
  <r>
    <n v="3338"/>
    <x v="107"/>
    <x v="2"/>
    <x v="106"/>
    <x v="0"/>
    <x v="2"/>
    <x v="1"/>
    <s v="Não"/>
    <s v="-"/>
    <s v="Sim"/>
    <n v="20"/>
    <n v="10"/>
    <n v="20"/>
  </r>
  <r>
    <n v="3339"/>
    <x v="108"/>
    <x v="1"/>
    <x v="107"/>
    <x v="1"/>
    <x v="1"/>
    <x v="2"/>
    <s v="Não"/>
    <s v="-"/>
    <s v="Não"/>
    <n v="0"/>
    <n v="1"/>
    <n v="4"/>
  </r>
  <r>
    <n v="3340"/>
    <x v="109"/>
    <x v="0"/>
    <x v="108"/>
    <x v="0"/>
    <x v="0"/>
    <x v="0"/>
    <s v="Sim"/>
    <n v="30"/>
    <s v="Sim"/>
    <n v="20"/>
    <n v="15"/>
    <n v="50"/>
  </r>
  <r>
    <n v="3341"/>
    <x v="110"/>
    <x v="2"/>
    <x v="109"/>
    <x v="1"/>
    <x v="2"/>
    <x v="0"/>
    <s v="Não"/>
    <s v="-"/>
    <s v="Sim"/>
    <n v="20"/>
    <n v="5"/>
    <n v="25"/>
  </r>
  <r>
    <n v="3342"/>
    <x v="111"/>
    <x v="1"/>
    <x v="110"/>
    <x v="0"/>
    <x v="1"/>
    <x v="1"/>
    <s v="Não"/>
    <s v="-"/>
    <s v="Não"/>
    <n v="0"/>
    <n v="0"/>
    <n v="5"/>
  </r>
  <r>
    <n v="3343"/>
    <x v="112"/>
    <x v="0"/>
    <x v="111"/>
    <x v="1"/>
    <x v="0"/>
    <x v="2"/>
    <s v="Sim"/>
    <n v="30"/>
    <s v="Sim"/>
    <n v="20"/>
    <n v="20"/>
    <n v="45"/>
  </r>
  <r>
    <n v="3344"/>
    <x v="113"/>
    <x v="2"/>
    <x v="112"/>
    <x v="0"/>
    <x v="2"/>
    <x v="2"/>
    <s v="Não"/>
    <s v="-"/>
    <s v="Sim"/>
    <n v="20"/>
    <n v="12"/>
    <n v="18"/>
  </r>
  <r>
    <n v="3345"/>
    <x v="114"/>
    <x v="1"/>
    <x v="113"/>
    <x v="1"/>
    <x v="1"/>
    <x v="0"/>
    <s v="Não"/>
    <s v="-"/>
    <s v="Não"/>
    <n v="0"/>
    <n v="2"/>
    <n v="3"/>
  </r>
  <r>
    <n v="3346"/>
    <x v="115"/>
    <x v="0"/>
    <x v="114"/>
    <x v="0"/>
    <x v="0"/>
    <x v="1"/>
    <s v="Sim"/>
    <n v="30"/>
    <s v="Sim"/>
    <n v="20"/>
    <n v="5"/>
    <n v="60"/>
  </r>
  <r>
    <n v="3347"/>
    <x v="116"/>
    <x v="2"/>
    <x v="115"/>
    <x v="1"/>
    <x v="2"/>
    <x v="0"/>
    <s v="Não"/>
    <s v="-"/>
    <s v="Sim"/>
    <n v="20"/>
    <n v="10"/>
    <n v="20"/>
  </r>
  <r>
    <n v="3348"/>
    <x v="117"/>
    <x v="1"/>
    <x v="116"/>
    <x v="0"/>
    <x v="1"/>
    <x v="2"/>
    <s v="Não"/>
    <s v="-"/>
    <s v="Não"/>
    <n v="0"/>
    <n v="0"/>
    <n v="5"/>
  </r>
  <r>
    <n v="3349"/>
    <x v="93"/>
    <x v="0"/>
    <x v="117"/>
    <x v="1"/>
    <x v="0"/>
    <x v="0"/>
    <s v="Sim"/>
    <n v="30"/>
    <s v="Sim"/>
    <n v="20"/>
    <n v="3"/>
    <n v="62"/>
  </r>
  <r>
    <n v="3350"/>
    <x v="118"/>
    <x v="2"/>
    <x v="118"/>
    <x v="0"/>
    <x v="2"/>
    <x v="1"/>
    <s v="Não"/>
    <s v="-"/>
    <s v="Sim"/>
    <n v="20"/>
    <n v="15"/>
    <n v="15"/>
  </r>
  <r>
    <n v="3351"/>
    <x v="119"/>
    <x v="1"/>
    <x v="119"/>
    <x v="1"/>
    <x v="1"/>
    <x v="0"/>
    <s v="Não"/>
    <s v="-"/>
    <s v="Não"/>
    <n v="0"/>
    <n v="1"/>
    <n v="4"/>
  </r>
  <r>
    <n v="3352"/>
    <x v="120"/>
    <x v="0"/>
    <x v="120"/>
    <x v="0"/>
    <x v="0"/>
    <x v="2"/>
    <s v="Sim"/>
    <n v="30"/>
    <s v="Sim"/>
    <n v="20"/>
    <n v="7"/>
    <n v="58"/>
  </r>
  <r>
    <n v="3353"/>
    <x v="121"/>
    <x v="2"/>
    <x v="121"/>
    <x v="1"/>
    <x v="2"/>
    <x v="0"/>
    <s v="Não"/>
    <s v="-"/>
    <s v="Sim"/>
    <n v="20"/>
    <n v="10"/>
    <n v="20"/>
  </r>
  <r>
    <n v="3354"/>
    <x v="122"/>
    <x v="1"/>
    <x v="122"/>
    <x v="0"/>
    <x v="1"/>
    <x v="1"/>
    <s v="Não"/>
    <s v="-"/>
    <s v="Não"/>
    <n v="0"/>
    <n v="0"/>
    <n v="5"/>
  </r>
  <r>
    <n v="3355"/>
    <x v="123"/>
    <x v="0"/>
    <x v="123"/>
    <x v="1"/>
    <x v="0"/>
    <x v="0"/>
    <s v="Sim"/>
    <n v="30"/>
    <s v="Sim"/>
    <n v="20"/>
    <n v="20"/>
    <n v="45"/>
  </r>
  <r>
    <n v="3356"/>
    <x v="124"/>
    <x v="2"/>
    <x v="124"/>
    <x v="0"/>
    <x v="2"/>
    <x v="2"/>
    <s v="Não"/>
    <s v="-"/>
    <s v="Sim"/>
    <n v="20"/>
    <n v="15"/>
    <n v="15"/>
  </r>
  <r>
    <n v="3357"/>
    <x v="125"/>
    <x v="1"/>
    <x v="125"/>
    <x v="1"/>
    <x v="1"/>
    <x v="0"/>
    <s v="Não"/>
    <s v="-"/>
    <s v="Não"/>
    <n v="0"/>
    <n v="1"/>
    <n v="4"/>
  </r>
  <r>
    <n v="3358"/>
    <x v="126"/>
    <x v="0"/>
    <x v="126"/>
    <x v="0"/>
    <x v="0"/>
    <x v="1"/>
    <s v="Sim"/>
    <n v="30"/>
    <s v="Sim"/>
    <n v="20"/>
    <n v="3"/>
    <n v="62"/>
  </r>
  <r>
    <n v="3359"/>
    <x v="127"/>
    <x v="2"/>
    <x v="127"/>
    <x v="1"/>
    <x v="2"/>
    <x v="0"/>
    <s v="Não"/>
    <s v="-"/>
    <s v="Sim"/>
    <n v="20"/>
    <n v="10"/>
    <n v="20"/>
  </r>
  <r>
    <n v="3360"/>
    <x v="128"/>
    <x v="1"/>
    <x v="128"/>
    <x v="0"/>
    <x v="1"/>
    <x v="2"/>
    <s v="Não"/>
    <s v="-"/>
    <s v="Não"/>
    <n v="0"/>
    <n v="0"/>
    <n v="5"/>
  </r>
  <r>
    <n v="3361"/>
    <x v="129"/>
    <x v="0"/>
    <x v="129"/>
    <x v="1"/>
    <x v="0"/>
    <x v="0"/>
    <s v="Sim"/>
    <n v="30"/>
    <s v="Sim"/>
    <n v="20"/>
    <n v="15"/>
    <n v="50"/>
  </r>
  <r>
    <n v="3362"/>
    <x v="130"/>
    <x v="2"/>
    <x v="130"/>
    <x v="0"/>
    <x v="2"/>
    <x v="1"/>
    <s v="Não"/>
    <s v="-"/>
    <s v="Sim"/>
    <n v="20"/>
    <n v="15"/>
    <n v="15"/>
  </r>
  <r>
    <n v="3363"/>
    <x v="131"/>
    <x v="1"/>
    <x v="131"/>
    <x v="1"/>
    <x v="1"/>
    <x v="0"/>
    <s v="Não"/>
    <s v="-"/>
    <s v="Não"/>
    <n v="0"/>
    <n v="1"/>
    <n v="4"/>
  </r>
  <r>
    <n v="3364"/>
    <x v="132"/>
    <x v="0"/>
    <x v="132"/>
    <x v="0"/>
    <x v="0"/>
    <x v="2"/>
    <s v="Sim"/>
    <n v="30"/>
    <s v="Sim"/>
    <n v="20"/>
    <n v="7"/>
    <n v="58"/>
  </r>
  <r>
    <n v="3365"/>
    <x v="133"/>
    <x v="2"/>
    <x v="133"/>
    <x v="1"/>
    <x v="2"/>
    <x v="0"/>
    <s v="Não"/>
    <s v="-"/>
    <s v="Sim"/>
    <n v="20"/>
    <n v="10"/>
    <n v="20"/>
  </r>
  <r>
    <n v="3366"/>
    <x v="134"/>
    <x v="1"/>
    <x v="134"/>
    <x v="0"/>
    <x v="1"/>
    <x v="0"/>
    <s v="Não"/>
    <s v="-"/>
    <s v="Não"/>
    <n v="0"/>
    <n v="0"/>
    <n v="5"/>
  </r>
  <r>
    <n v="3367"/>
    <x v="135"/>
    <x v="0"/>
    <x v="135"/>
    <x v="1"/>
    <x v="0"/>
    <x v="2"/>
    <s v="Sim"/>
    <n v="30"/>
    <s v="Sim"/>
    <n v="20"/>
    <n v="7"/>
    <n v="58"/>
  </r>
  <r>
    <n v="3368"/>
    <x v="136"/>
    <x v="2"/>
    <x v="136"/>
    <x v="0"/>
    <x v="2"/>
    <x v="1"/>
    <s v="Não"/>
    <s v="-"/>
    <s v="Sim"/>
    <n v="20"/>
    <n v="10"/>
    <n v="20"/>
  </r>
  <r>
    <n v="3369"/>
    <x v="137"/>
    <x v="1"/>
    <x v="137"/>
    <x v="1"/>
    <x v="1"/>
    <x v="2"/>
    <s v="Não"/>
    <s v="-"/>
    <s v="Não"/>
    <n v="0"/>
    <n v="1"/>
    <n v="4"/>
  </r>
  <r>
    <n v="3370"/>
    <x v="138"/>
    <x v="0"/>
    <x v="138"/>
    <x v="0"/>
    <x v="0"/>
    <x v="0"/>
    <s v="Sim"/>
    <n v="30"/>
    <s v="Sim"/>
    <n v="20"/>
    <n v="15"/>
    <n v="50"/>
  </r>
  <r>
    <n v="3371"/>
    <x v="139"/>
    <x v="2"/>
    <x v="139"/>
    <x v="1"/>
    <x v="2"/>
    <x v="0"/>
    <s v="Não"/>
    <s v="-"/>
    <s v="Sim"/>
    <n v="20"/>
    <n v="5"/>
    <n v="25"/>
  </r>
  <r>
    <n v="3372"/>
    <x v="140"/>
    <x v="1"/>
    <x v="140"/>
    <x v="0"/>
    <x v="1"/>
    <x v="1"/>
    <s v="Não"/>
    <s v="-"/>
    <s v="Não"/>
    <n v="0"/>
    <n v="0"/>
    <n v="5"/>
  </r>
  <r>
    <n v="3373"/>
    <x v="141"/>
    <x v="0"/>
    <x v="141"/>
    <x v="1"/>
    <x v="0"/>
    <x v="2"/>
    <s v="Sim"/>
    <n v="30"/>
    <s v="Sim"/>
    <n v="20"/>
    <n v="20"/>
    <n v="45"/>
  </r>
  <r>
    <n v="3374"/>
    <x v="142"/>
    <x v="2"/>
    <x v="142"/>
    <x v="0"/>
    <x v="2"/>
    <x v="2"/>
    <s v="Não"/>
    <s v="-"/>
    <s v="Sim"/>
    <n v="20"/>
    <n v="12"/>
    <n v="18"/>
  </r>
  <r>
    <n v="3375"/>
    <x v="143"/>
    <x v="1"/>
    <x v="143"/>
    <x v="1"/>
    <x v="1"/>
    <x v="0"/>
    <s v="Não"/>
    <s v="-"/>
    <s v="Não"/>
    <n v="0"/>
    <n v="2"/>
    <n v="3"/>
  </r>
  <r>
    <n v="3376"/>
    <x v="144"/>
    <x v="0"/>
    <x v="144"/>
    <x v="0"/>
    <x v="0"/>
    <x v="1"/>
    <s v="Sim"/>
    <n v="30"/>
    <s v="Sim"/>
    <n v="20"/>
    <n v="5"/>
    <n v="60"/>
  </r>
  <r>
    <n v="3377"/>
    <x v="145"/>
    <x v="2"/>
    <x v="145"/>
    <x v="1"/>
    <x v="2"/>
    <x v="0"/>
    <s v="Não"/>
    <s v="-"/>
    <s v="Sim"/>
    <n v="20"/>
    <n v="10"/>
    <n v="20"/>
  </r>
  <r>
    <n v="3378"/>
    <x v="146"/>
    <x v="1"/>
    <x v="146"/>
    <x v="0"/>
    <x v="1"/>
    <x v="2"/>
    <s v="Não"/>
    <s v="-"/>
    <s v="Não"/>
    <n v="0"/>
    <n v="0"/>
    <n v="5"/>
  </r>
  <r>
    <n v="3379"/>
    <x v="147"/>
    <x v="0"/>
    <x v="147"/>
    <x v="1"/>
    <x v="0"/>
    <x v="0"/>
    <s v="Sim"/>
    <n v="30"/>
    <s v="Sim"/>
    <n v="20"/>
    <n v="3"/>
    <n v="62"/>
  </r>
  <r>
    <n v="3380"/>
    <x v="148"/>
    <x v="2"/>
    <x v="148"/>
    <x v="0"/>
    <x v="2"/>
    <x v="1"/>
    <s v="Não"/>
    <s v="-"/>
    <s v="Sim"/>
    <n v="20"/>
    <n v="15"/>
    <n v="15"/>
  </r>
  <r>
    <n v="3381"/>
    <x v="149"/>
    <x v="1"/>
    <x v="149"/>
    <x v="1"/>
    <x v="1"/>
    <x v="0"/>
    <s v="Não"/>
    <s v="-"/>
    <s v="Não"/>
    <n v="0"/>
    <n v="1"/>
    <n v="4"/>
  </r>
  <r>
    <n v="3382"/>
    <x v="150"/>
    <x v="0"/>
    <x v="150"/>
    <x v="0"/>
    <x v="0"/>
    <x v="2"/>
    <s v="Sim"/>
    <n v="30"/>
    <s v="Sim"/>
    <n v="20"/>
    <n v="7"/>
    <n v="58"/>
  </r>
  <r>
    <n v="3383"/>
    <x v="151"/>
    <x v="2"/>
    <x v="151"/>
    <x v="1"/>
    <x v="2"/>
    <x v="0"/>
    <s v="Não"/>
    <s v="-"/>
    <s v="Sim"/>
    <n v="20"/>
    <n v="10"/>
    <n v="20"/>
  </r>
  <r>
    <n v="3384"/>
    <x v="152"/>
    <x v="1"/>
    <x v="152"/>
    <x v="0"/>
    <x v="1"/>
    <x v="1"/>
    <s v="Não"/>
    <s v="-"/>
    <s v="Não"/>
    <n v="0"/>
    <n v="0"/>
    <n v="5"/>
  </r>
  <r>
    <n v="3385"/>
    <x v="153"/>
    <x v="0"/>
    <x v="153"/>
    <x v="1"/>
    <x v="0"/>
    <x v="0"/>
    <s v="Sim"/>
    <n v="30"/>
    <s v="Sim"/>
    <n v="20"/>
    <n v="20"/>
    <n v="45"/>
  </r>
  <r>
    <n v="3386"/>
    <x v="154"/>
    <x v="2"/>
    <x v="154"/>
    <x v="0"/>
    <x v="2"/>
    <x v="2"/>
    <s v="Não"/>
    <s v="-"/>
    <s v="Sim"/>
    <n v="20"/>
    <n v="15"/>
    <n v="15"/>
  </r>
  <r>
    <n v="3387"/>
    <x v="155"/>
    <x v="1"/>
    <x v="155"/>
    <x v="1"/>
    <x v="1"/>
    <x v="0"/>
    <s v="Não"/>
    <s v="-"/>
    <s v="Não"/>
    <n v="0"/>
    <n v="1"/>
    <n v="4"/>
  </r>
  <r>
    <n v="3388"/>
    <x v="156"/>
    <x v="0"/>
    <x v="156"/>
    <x v="0"/>
    <x v="0"/>
    <x v="1"/>
    <s v="Sim"/>
    <n v="30"/>
    <s v="Sim"/>
    <n v="20"/>
    <n v="3"/>
    <n v="62"/>
  </r>
  <r>
    <n v="3389"/>
    <x v="157"/>
    <x v="2"/>
    <x v="157"/>
    <x v="1"/>
    <x v="2"/>
    <x v="0"/>
    <s v="Não"/>
    <s v="-"/>
    <s v="Sim"/>
    <n v="20"/>
    <n v="10"/>
    <n v="20"/>
  </r>
  <r>
    <n v="3390"/>
    <x v="158"/>
    <x v="1"/>
    <x v="158"/>
    <x v="0"/>
    <x v="1"/>
    <x v="2"/>
    <s v="Não"/>
    <s v="-"/>
    <s v="Não"/>
    <n v="0"/>
    <n v="0"/>
    <n v="5"/>
  </r>
  <r>
    <n v="3391"/>
    <x v="58"/>
    <x v="0"/>
    <x v="159"/>
    <x v="1"/>
    <x v="0"/>
    <x v="0"/>
    <s v="Sim"/>
    <n v="30"/>
    <s v="Sim"/>
    <n v="20"/>
    <n v="15"/>
    <n v="50"/>
  </r>
  <r>
    <n v="3392"/>
    <x v="159"/>
    <x v="2"/>
    <x v="160"/>
    <x v="0"/>
    <x v="2"/>
    <x v="1"/>
    <s v="Não"/>
    <s v="-"/>
    <s v="Sim"/>
    <n v="20"/>
    <n v="15"/>
    <n v="15"/>
  </r>
  <r>
    <n v="3393"/>
    <x v="160"/>
    <x v="1"/>
    <x v="161"/>
    <x v="1"/>
    <x v="1"/>
    <x v="0"/>
    <s v="Não"/>
    <s v="-"/>
    <s v="Não"/>
    <n v="0"/>
    <n v="1"/>
    <n v="4"/>
  </r>
  <r>
    <n v="3394"/>
    <x v="161"/>
    <x v="0"/>
    <x v="162"/>
    <x v="0"/>
    <x v="0"/>
    <x v="2"/>
    <s v="Sim"/>
    <n v="30"/>
    <s v="Sim"/>
    <n v="20"/>
    <n v="7"/>
    <n v="58"/>
  </r>
  <r>
    <n v="3395"/>
    <x v="162"/>
    <x v="2"/>
    <x v="163"/>
    <x v="1"/>
    <x v="2"/>
    <x v="0"/>
    <s v="Não"/>
    <s v="-"/>
    <s v="Sim"/>
    <n v="20"/>
    <n v="10"/>
    <n v="20"/>
  </r>
  <r>
    <n v="3396"/>
    <x v="163"/>
    <x v="1"/>
    <x v="164"/>
    <x v="0"/>
    <x v="1"/>
    <x v="1"/>
    <s v="Não"/>
    <s v="-"/>
    <s v="Não"/>
    <n v="0"/>
    <n v="0"/>
    <n v="5"/>
  </r>
  <r>
    <n v="3397"/>
    <x v="90"/>
    <x v="0"/>
    <x v="165"/>
    <x v="1"/>
    <x v="0"/>
    <x v="0"/>
    <s v="Sim"/>
    <n v="30"/>
    <s v="Sim"/>
    <n v="20"/>
    <n v="20"/>
    <n v="45"/>
  </r>
  <r>
    <n v="3398"/>
    <x v="164"/>
    <x v="2"/>
    <x v="166"/>
    <x v="0"/>
    <x v="2"/>
    <x v="2"/>
    <s v="Não"/>
    <s v="-"/>
    <s v="Sim"/>
    <n v="20"/>
    <n v="15"/>
    <n v="15"/>
  </r>
  <r>
    <n v="3399"/>
    <x v="165"/>
    <x v="1"/>
    <x v="167"/>
    <x v="1"/>
    <x v="1"/>
    <x v="0"/>
    <s v="Não"/>
    <s v="-"/>
    <s v="Não"/>
    <n v="0"/>
    <n v="1"/>
    <n v="4"/>
  </r>
  <r>
    <n v="3400"/>
    <x v="166"/>
    <x v="0"/>
    <x v="168"/>
    <x v="0"/>
    <x v="0"/>
    <x v="1"/>
    <s v="Sim"/>
    <n v="30"/>
    <s v="Sim"/>
    <n v="20"/>
    <n v="5"/>
    <n v="60"/>
  </r>
  <r>
    <n v="3401"/>
    <x v="167"/>
    <x v="2"/>
    <x v="169"/>
    <x v="1"/>
    <x v="2"/>
    <x v="0"/>
    <s v="Não"/>
    <s v="-"/>
    <s v="Sim"/>
    <n v="20"/>
    <n v="10"/>
    <n v="20"/>
  </r>
  <r>
    <n v="3402"/>
    <x v="168"/>
    <x v="1"/>
    <x v="170"/>
    <x v="0"/>
    <x v="1"/>
    <x v="2"/>
    <s v="Não"/>
    <s v="-"/>
    <s v="Não"/>
    <n v="0"/>
    <n v="0"/>
    <n v="5"/>
  </r>
  <r>
    <n v="3403"/>
    <x v="169"/>
    <x v="0"/>
    <x v="171"/>
    <x v="1"/>
    <x v="0"/>
    <x v="0"/>
    <s v="Sim"/>
    <n v="30"/>
    <s v="Sim"/>
    <n v="20"/>
    <n v="3"/>
    <n v="62"/>
  </r>
  <r>
    <n v="3404"/>
    <x v="170"/>
    <x v="2"/>
    <x v="172"/>
    <x v="0"/>
    <x v="2"/>
    <x v="1"/>
    <s v="Não"/>
    <s v="-"/>
    <s v="Sim"/>
    <n v="20"/>
    <n v="15"/>
    <n v="15"/>
  </r>
  <r>
    <n v="3405"/>
    <x v="171"/>
    <x v="1"/>
    <x v="173"/>
    <x v="1"/>
    <x v="1"/>
    <x v="0"/>
    <s v="Não"/>
    <s v="-"/>
    <s v="Não"/>
    <n v="0"/>
    <n v="1"/>
    <n v="4"/>
  </r>
  <r>
    <n v="3406"/>
    <x v="172"/>
    <x v="1"/>
    <x v="174"/>
    <x v="0"/>
    <x v="1"/>
    <x v="0"/>
    <s v="Não"/>
    <s v="-"/>
    <s v="Não"/>
    <n v="0"/>
    <n v="0"/>
    <n v="5"/>
  </r>
  <r>
    <n v="3407"/>
    <x v="173"/>
    <x v="0"/>
    <x v="175"/>
    <x v="1"/>
    <x v="0"/>
    <x v="2"/>
    <s v="Sim"/>
    <n v="30"/>
    <s v="Sim"/>
    <n v="20"/>
    <n v="7"/>
    <n v="58"/>
  </r>
  <r>
    <n v="3408"/>
    <x v="174"/>
    <x v="2"/>
    <x v="176"/>
    <x v="0"/>
    <x v="2"/>
    <x v="1"/>
    <s v="Não"/>
    <s v="-"/>
    <s v="Sim"/>
    <n v="20"/>
    <n v="10"/>
    <n v="20"/>
  </r>
  <r>
    <n v="3409"/>
    <x v="175"/>
    <x v="1"/>
    <x v="177"/>
    <x v="1"/>
    <x v="1"/>
    <x v="2"/>
    <s v="Não"/>
    <s v="-"/>
    <s v="Não"/>
    <n v="0"/>
    <n v="1"/>
    <n v="4"/>
  </r>
  <r>
    <n v="3410"/>
    <x v="176"/>
    <x v="0"/>
    <x v="178"/>
    <x v="0"/>
    <x v="0"/>
    <x v="0"/>
    <s v="Sim"/>
    <n v="30"/>
    <s v="Sim"/>
    <n v="20"/>
    <n v="15"/>
    <n v="50"/>
  </r>
  <r>
    <n v="3411"/>
    <x v="177"/>
    <x v="2"/>
    <x v="179"/>
    <x v="1"/>
    <x v="2"/>
    <x v="0"/>
    <s v="Não"/>
    <s v="-"/>
    <s v="Sim"/>
    <n v="20"/>
    <n v="5"/>
    <n v="25"/>
  </r>
  <r>
    <n v="3412"/>
    <x v="178"/>
    <x v="1"/>
    <x v="180"/>
    <x v="0"/>
    <x v="1"/>
    <x v="1"/>
    <s v="Não"/>
    <s v="-"/>
    <s v="Não"/>
    <n v="0"/>
    <n v="0"/>
    <n v="5"/>
  </r>
  <r>
    <n v="3413"/>
    <x v="179"/>
    <x v="0"/>
    <x v="181"/>
    <x v="1"/>
    <x v="0"/>
    <x v="2"/>
    <s v="Sim"/>
    <n v="30"/>
    <s v="Sim"/>
    <n v="20"/>
    <n v="20"/>
    <n v="45"/>
  </r>
  <r>
    <n v="3414"/>
    <x v="180"/>
    <x v="2"/>
    <x v="182"/>
    <x v="0"/>
    <x v="2"/>
    <x v="2"/>
    <s v="Não"/>
    <s v="-"/>
    <s v="Sim"/>
    <n v="20"/>
    <n v="12"/>
    <n v="18"/>
  </r>
  <r>
    <n v="3415"/>
    <x v="181"/>
    <x v="1"/>
    <x v="183"/>
    <x v="1"/>
    <x v="1"/>
    <x v="0"/>
    <s v="Não"/>
    <s v="-"/>
    <s v="Não"/>
    <n v="0"/>
    <n v="2"/>
    <n v="3"/>
  </r>
  <r>
    <n v="3416"/>
    <x v="182"/>
    <x v="0"/>
    <x v="184"/>
    <x v="0"/>
    <x v="0"/>
    <x v="1"/>
    <s v="Sim"/>
    <n v="30"/>
    <s v="Sim"/>
    <n v="20"/>
    <n v="5"/>
    <n v="60"/>
  </r>
  <r>
    <n v="3417"/>
    <x v="183"/>
    <x v="2"/>
    <x v="185"/>
    <x v="1"/>
    <x v="2"/>
    <x v="0"/>
    <s v="Não"/>
    <s v="-"/>
    <s v="Sim"/>
    <n v="20"/>
    <n v="10"/>
    <n v="20"/>
  </r>
  <r>
    <n v="3418"/>
    <x v="184"/>
    <x v="1"/>
    <x v="186"/>
    <x v="0"/>
    <x v="1"/>
    <x v="2"/>
    <s v="Não"/>
    <s v="-"/>
    <s v="Não"/>
    <n v="0"/>
    <n v="0"/>
    <n v="5"/>
  </r>
  <r>
    <n v="3419"/>
    <x v="185"/>
    <x v="0"/>
    <x v="187"/>
    <x v="1"/>
    <x v="0"/>
    <x v="0"/>
    <s v="Sim"/>
    <n v="30"/>
    <s v="Sim"/>
    <n v="20"/>
    <n v="3"/>
    <n v="62"/>
  </r>
  <r>
    <n v="3420"/>
    <x v="186"/>
    <x v="2"/>
    <x v="188"/>
    <x v="0"/>
    <x v="2"/>
    <x v="1"/>
    <s v="Não"/>
    <s v="-"/>
    <s v="Sim"/>
    <n v="20"/>
    <n v="15"/>
    <n v="15"/>
  </r>
  <r>
    <n v="3421"/>
    <x v="15"/>
    <x v="1"/>
    <x v="189"/>
    <x v="1"/>
    <x v="1"/>
    <x v="0"/>
    <s v="Não"/>
    <s v="-"/>
    <s v="Não"/>
    <n v="0"/>
    <n v="1"/>
    <n v="4"/>
  </r>
  <r>
    <n v="3422"/>
    <x v="187"/>
    <x v="0"/>
    <x v="190"/>
    <x v="0"/>
    <x v="0"/>
    <x v="2"/>
    <s v="Sim"/>
    <n v="30"/>
    <s v="Sim"/>
    <n v="20"/>
    <n v="7"/>
    <n v="58"/>
  </r>
  <r>
    <n v="3423"/>
    <x v="188"/>
    <x v="2"/>
    <x v="191"/>
    <x v="1"/>
    <x v="2"/>
    <x v="0"/>
    <s v="Não"/>
    <s v="-"/>
    <s v="Sim"/>
    <n v="20"/>
    <n v="10"/>
    <n v="20"/>
  </r>
  <r>
    <n v="3424"/>
    <x v="14"/>
    <x v="1"/>
    <x v="192"/>
    <x v="0"/>
    <x v="1"/>
    <x v="1"/>
    <s v="Não"/>
    <s v="-"/>
    <s v="Não"/>
    <n v="0"/>
    <n v="0"/>
    <n v="5"/>
  </r>
  <r>
    <n v="3425"/>
    <x v="189"/>
    <x v="0"/>
    <x v="193"/>
    <x v="1"/>
    <x v="0"/>
    <x v="0"/>
    <s v="Sim"/>
    <n v="30"/>
    <s v="Sim"/>
    <n v="20"/>
    <n v="20"/>
    <n v="45"/>
  </r>
  <r>
    <n v="3426"/>
    <x v="167"/>
    <x v="2"/>
    <x v="194"/>
    <x v="0"/>
    <x v="2"/>
    <x v="2"/>
    <s v="Não"/>
    <s v="-"/>
    <s v="Sim"/>
    <n v="20"/>
    <n v="15"/>
    <n v="15"/>
  </r>
  <r>
    <n v="3427"/>
    <x v="190"/>
    <x v="1"/>
    <x v="195"/>
    <x v="1"/>
    <x v="1"/>
    <x v="0"/>
    <s v="Não"/>
    <s v="-"/>
    <s v="Não"/>
    <n v="0"/>
    <n v="1"/>
    <n v="4"/>
  </r>
  <r>
    <n v="3428"/>
    <x v="191"/>
    <x v="0"/>
    <x v="196"/>
    <x v="0"/>
    <x v="0"/>
    <x v="1"/>
    <s v="Sim"/>
    <n v="30"/>
    <s v="Sim"/>
    <n v="20"/>
    <n v="3"/>
    <n v="62"/>
  </r>
  <r>
    <n v="3429"/>
    <x v="192"/>
    <x v="2"/>
    <x v="197"/>
    <x v="1"/>
    <x v="2"/>
    <x v="0"/>
    <s v="Não"/>
    <s v="-"/>
    <s v="Sim"/>
    <n v="20"/>
    <n v="10"/>
    <n v="20"/>
  </r>
  <r>
    <n v="3430"/>
    <x v="193"/>
    <x v="1"/>
    <x v="198"/>
    <x v="0"/>
    <x v="1"/>
    <x v="2"/>
    <s v="Não"/>
    <s v="-"/>
    <s v="Não"/>
    <n v="0"/>
    <n v="0"/>
    <n v="5"/>
  </r>
  <r>
    <n v="3431"/>
    <x v="194"/>
    <x v="0"/>
    <x v="199"/>
    <x v="1"/>
    <x v="0"/>
    <x v="0"/>
    <s v="Sim"/>
    <n v="30"/>
    <s v="Sim"/>
    <n v="20"/>
    <n v="15"/>
    <n v="50"/>
  </r>
  <r>
    <n v="3432"/>
    <x v="195"/>
    <x v="2"/>
    <x v="200"/>
    <x v="0"/>
    <x v="2"/>
    <x v="1"/>
    <s v="Não"/>
    <s v="-"/>
    <s v="Sim"/>
    <n v="20"/>
    <n v="15"/>
    <n v="15"/>
  </r>
  <r>
    <n v="3433"/>
    <x v="196"/>
    <x v="1"/>
    <x v="201"/>
    <x v="1"/>
    <x v="1"/>
    <x v="0"/>
    <s v="Não"/>
    <s v="-"/>
    <s v="Não"/>
    <n v="0"/>
    <n v="1"/>
    <n v="4"/>
  </r>
  <r>
    <n v="3434"/>
    <x v="197"/>
    <x v="0"/>
    <x v="202"/>
    <x v="0"/>
    <x v="0"/>
    <x v="2"/>
    <s v="Sim"/>
    <n v="30"/>
    <s v="Sim"/>
    <n v="20"/>
    <n v="7"/>
    <n v="58"/>
  </r>
  <r>
    <n v="3435"/>
    <x v="198"/>
    <x v="2"/>
    <x v="203"/>
    <x v="1"/>
    <x v="2"/>
    <x v="0"/>
    <s v="Não"/>
    <s v="-"/>
    <s v="Sim"/>
    <n v="20"/>
    <n v="10"/>
    <n v="20"/>
  </r>
  <r>
    <n v="3436"/>
    <x v="199"/>
    <x v="1"/>
    <x v="204"/>
    <x v="0"/>
    <x v="1"/>
    <x v="0"/>
    <s v="Não"/>
    <s v="-"/>
    <s v="Não"/>
    <n v="0"/>
    <n v="0"/>
    <n v="5"/>
  </r>
  <r>
    <n v="3437"/>
    <x v="200"/>
    <x v="0"/>
    <x v="205"/>
    <x v="1"/>
    <x v="0"/>
    <x v="2"/>
    <s v="Sim"/>
    <n v="30"/>
    <s v="Sim"/>
    <n v="20"/>
    <n v="7"/>
    <n v="58"/>
  </r>
  <r>
    <n v="3438"/>
    <x v="201"/>
    <x v="2"/>
    <x v="206"/>
    <x v="0"/>
    <x v="2"/>
    <x v="1"/>
    <s v="Não"/>
    <s v="-"/>
    <s v="Sim"/>
    <n v="20"/>
    <n v="10"/>
    <n v="20"/>
  </r>
  <r>
    <n v="3439"/>
    <x v="202"/>
    <x v="1"/>
    <x v="207"/>
    <x v="1"/>
    <x v="1"/>
    <x v="2"/>
    <s v="Não"/>
    <s v="-"/>
    <s v="Não"/>
    <n v="0"/>
    <n v="1"/>
    <n v="4"/>
  </r>
  <r>
    <n v="3440"/>
    <x v="203"/>
    <x v="0"/>
    <x v="208"/>
    <x v="0"/>
    <x v="0"/>
    <x v="0"/>
    <s v="Sim"/>
    <n v="30"/>
    <s v="Sim"/>
    <n v="20"/>
    <n v="15"/>
    <n v="50"/>
  </r>
  <r>
    <n v="3441"/>
    <x v="204"/>
    <x v="2"/>
    <x v="209"/>
    <x v="1"/>
    <x v="2"/>
    <x v="0"/>
    <s v="Não"/>
    <s v="-"/>
    <s v="Sim"/>
    <n v="20"/>
    <n v="5"/>
    <n v="25"/>
  </r>
  <r>
    <n v="3442"/>
    <x v="205"/>
    <x v="1"/>
    <x v="210"/>
    <x v="0"/>
    <x v="1"/>
    <x v="1"/>
    <s v="Não"/>
    <s v="-"/>
    <s v="Não"/>
    <n v="0"/>
    <n v="0"/>
    <n v="5"/>
  </r>
  <r>
    <n v="3443"/>
    <x v="206"/>
    <x v="0"/>
    <x v="211"/>
    <x v="1"/>
    <x v="0"/>
    <x v="2"/>
    <s v="Sim"/>
    <n v="30"/>
    <s v="Sim"/>
    <n v="20"/>
    <n v="20"/>
    <n v="45"/>
  </r>
  <r>
    <n v="3444"/>
    <x v="207"/>
    <x v="2"/>
    <x v="212"/>
    <x v="0"/>
    <x v="2"/>
    <x v="2"/>
    <s v="Não"/>
    <s v="-"/>
    <s v="Sim"/>
    <n v="20"/>
    <n v="12"/>
    <n v="18"/>
  </r>
  <r>
    <n v="3445"/>
    <x v="37"/>
    <x v="1"/>
    <x v="213"/>
    <x v="1"/>
    <x v="1"/>
    <x v="0"/>
    <s v="Não"/>
    <s v="-"/>
    <s v="Não"/>
    <n v="0"/>
    <n v="2"/>
    <n v="3"/>
  </r>
  <r>
    <n v="3446"/>
    <x v="208"/>
    <x v="0"/>
    <x v="214"/>
    <x v="0"/>
    <x v="0"/>
    <x v="1"/>
    <s v="Sim"/>
    <n v="30"/>
    <s v="Sim"/>
    <n v="20"/>
    <n v="5"/>
    <n v="60"/>
  </r>
  <r>
    <n v="3447"/>
    <x v="209"/>
    <x v="2"/>
    <x v="215"/>
    <x v="1"/>
    <x v="2"/>
    <x v="0"/>
    <s v="Não"/>
    <s v="-"/>
    <s v="Sim"/>
    <n v="20"/>
    <n v="10"/>
    <n v="20"/>
  </r>
  <r>
    <n v="3448"/>
    <x v="210"/>
    <x v="1"/>
    <x v="216"/>
    <x v="0"/>
    <x v="1"/>
    <x v="2"/>
    <s v="Não"/>
    <s v="-"/>
    <s v="Não"/>
    <n v="0"/>
    <n v="0"/>
    <n v="5"/>
  </r>
  <r>
    <n v="3449"/>
    <x v="211"/>
    <x v="0"/>
    <x v="217"/>
    <x v="1"/>
    <x v="0"/>
    <x v="0"/>
    <s v="Sim"/>
    <n v="30"/>
    <s v="Sim"/>
    <n v="20"/>
    <n v="3"/>
    <n v="62"/>
  </r>
  <r>
    <n v="3450"/>
    <x v="212"/>
    <x v="2"/>
    <x v="218"/>
    <x v="0"/>
    <x v="2"/>
    <x v="1"/>
    <s v="Não"/>
    <s v="-"/>
    <s v="Sim"/>
    <n v="20"/>
    <n v="15"/>
    <n v="15"/>
  </r>
  <r>
    <n v="3451"/>
    <x v="213"/>
    <x v="1"/>
    <x v="219"/>
    <x v="1"/>
    <x v="1"/>
    <x v="0"/>
    <s v="Não"/>
    <s v="-"/>
    <s v="Não"/>
    <n v="0"/>
    <n v="1"/>
    <n v="4"/>
  </r>
  <r>
    <n v="3452"/>
    <x v="191"/>
    <x v="0"/>
    <x v="220"/>
    <x v="0"/>
    <x v="0"/>
    <x v="2"/>
    <s v="Sim"/>
    <n v="30"/>
    <s v="Sim"/>
    <n v="20"/>
    <n v="7"/>
    <n v="58"/>
  </r>
  <r>
    <n v="3453"/>
    <x v="45"/>
    <x v="2"/>
    <x v="221"/>
    <x v="1"/>
    <x v="2"/>
    <x v="0"/>
    <s v="Não"/>
    <s v="-"/>
    <s v="Sim"/>
    <n v="20"/>
    <n v="10"/>
    <n v="20"/>
  </r>
  <r>
    <n v="3454"/>
    <x v="214"/>
    <x v="1"/>
    <x v="222"/>
    <x v="0"/>
    <x v="1"/>
    <x v="1"/>
    <s v="Não"/>
    <s v="-"/>
    <s v="Não"/>
    <n v="0"/>
    <n v="0"/>
    <n v="5"/>
  </r>
  <r>
    <n v="3455"/>
    <x v="215"/>
    <x v="0"/>
    <x v="223"/>
    <x v="1"/>
    <x v="0"/>
    <x v="0"/>
    <s v="Sim"/>
    <n v="30"/>
    <s v="Sim"/>
    <n v="20"/>
    <n v="20"/>
    <n v="45"/>
  </r>
  <r>
    <n v="3456"/>
    <x v="216"/>
    <x v="2"/>
    <x v="224"/>
    <x v="0"/>
    <x v="2"/>
    <x v="2"/>
    <s v="Não"/>
    <s v="-"/>
    <s v="Sim"/>
    <n v="20"/>
    <n v="15"/>
    <n v="15"/>
  </r>
  <r>
    <n v="3457"/>
    <x v="217"/>
    <x v="1"/>
    <x v="225"/>
    <x v="1"/>
    <x v="1"/>
    <x v="0"/>
    <s v="Não"/>
    <s v="-"/>
    <s v="Não"/>
    <n v="0"/>
    <n v="1"/>
    <n v="4"/>
  </r>
  <r>
    <n v="3458"/>
    <x v="218"/>
    <x v="0"/>
    <x v="226"/>
    <x v="0"/>
    <x v="0"/>
    <x v="1"/>
    <s v="Sim"/>
    <n v="30"/>
    <s v="Sim"/>
    <n v="20"/>
    <n v="3"/>
    <n v="62"/>
  </r>
  <r>
    <n v="3459"/>
    <x v="219"/>
    <x v="2"/>
    <x v="227"/>
    <x v="1"/>
    <x v="2"/>
    <x v="0"/>
    <s v="Não"/>
    <s v="-"/>
    <s v="Sim"/>
    <n v="20"/>
    <n v="10"/>
    <n v="20"/>
  </r>
  <r>
    <n v="3460"/>
    <x v="127"/>
    <x v="1"/>
    <x v="228"/>
    <x v="0"/>
    <x v="1"/>
    <x v="2"/>
    <s v="Não"/>
    <s v="-"/>
    <s v="Não"/>
    <n v="0"/>
    <n v="0"/>
    <n v="5"/>
  </r>
  <r>
    <n v="3461"/>
    <x v="220"/>
    <x v="0"/>
    <x v="229"/>
    <x v="1"/>
    <x v="0"/>
    <x v="0"/>
    <s v="Sim"/>
    <n v="30"/>
    <s v="Sim"/>
    <n v="20"/>
    <n v="15"/>
    <n v="50"/>
  </r>
  <r>
    <n v="3462"/>
    <x v="221"/>
    <x v="2"/>
    <x v="230"/>
    <x v="0"/>
    <x v="2"/>
    <x v="1"/>
    <s v="Não"/>
    <s v="-"/>
    <s v="Sim"/>
    <n v="20"/>
    <n v="15"/>
    <n v="15"/>
  </r>
  <r>
    <n v="3463"/>
    <x v="222"/>
    <x v="1"/>
    <x v="231"/>
    <x v="1"/>
    <x v="1"/>
    <x v="0"/>
    <s v="Não"/>
    <s v="-"/>
    <s v="Não"/>
    <n v="0"/>
    <n v="1"/>
    <n v="4"/>
  </r>
  <r>
    <n v="3464"/>
    <x v="223"/>
    <x v="0"/>
    <x v="232"/>
    <x v="0"/>
    <x v="0"/>
    <x v="2"/>
    <s v="Sim"/>
    <n v="30"/>
    <s v="Sim"/>
    <n v="20"/>
    <n v="7"/>
    <n v="58"/>
  </r>
  <r>
    <n v="3465"/>
    <x v="224"/>
    <x v="2"/>
    <x v="233"/>
    <x v="1"/>
    <x v="2"/>
    <x v="0"/>
    <s v="Não"/>
    <s v="-"/>
    <s v="Sim"/>
    <n v="20"/>
    <n v="10"/>
    <n v="20"/>
  </r>
  <r>
    <n v="3466"/>
    <x v="225"/>
    <x v="1"/>
    <x v="234"/>
    <x v="0"/>
    <x v="1"/>
    <x v="1"/>
    <s v="Não"/>
    <s v="-"/>
    <s v="Não"/>
    <n v="0"/>
    <n v="0"/>
    <n v="5"/>
  </r>
  <r>
    <n v="3467"/>
    <x v="226"/>
    <x v="0"/>
    <x v="235"/>
    <x v="1"/>
    <x v="0"/>
    <x v="0"/>
    <s v="Sim"/>
    <n v="30"/>
    <s v="Sim"/>
    <n v="20"/>
    <n v="15"/>
    <n v="50"/>
  </r>
  <r>
    <n v="3468"/>
    <x v="227"/>
    <x v="2"/>
    <x v="236"/>
    <x v="0"/>
    <x v="2"/>
    <x v="2"/>
    <s v="Não"/>
    <s v="-"/>
    <s v="Sim"/>
    <n v="20"/>
    <n v="12"/>
    <n v="18"/>
  </r>
  <r>
    <n v="3469"/>
    <x v="228"/>
    <x v="1"/>
    <x v="237"/>
    <x v="1"/>
    <x v="1"/>
    <x v="0"/>
    <s v="Não"/>
    <s v="-"/>
    <s v="Não"/>
    <n v="0"/>
    <n v="2"/>
    <n v="3"/>
  </r>
  <r>
    <n v="3470"/>
    <x v="229"/>
    <x v="0"/>
    <x v="238"/>
    <x v="0"/>
    <x v="0"/>
    <x v="1"/>
    <s v="Sim"/>
    <n v="30"/>
    <s v="Sim"/>
    <n v="20"/>
    <n v="5"/>
    <n v="60"/>
  </r>
  <r>
    <n v="3471"/>
    <x v="230"/>
    <x v="2"/>
    <x v="239"/>
    <x v="1"/>
    <x v="2"/>
    <x v="0"/>
    <s v="Não"/>
    <s v="-"/>
    <s v="Sim"/>
    <n v="20"/>
    <n v="10"/>
    <n v="20"/>
  </r>
  <r>
    <n v="3472"/>
    <x v="231"/>
    <x v="1"/>
    <x v="240"/>
    <x v="0"/>
    <x v="1"/>
    <x v="2"/>
    <s v="Não"/>
    <s v="-"/>
    <s v="Não"/>
    <n v="0"/>
    <n v="0"/>
    <n v="5"/>
  </r>
  <r>
    <n v="3473"/>
    <x v="140"/>
    <x v="0"/>
    <x v="241"/>
    <x v="1"/>
    <x v="0"/>
    <x v="0"/>
    <s v="Sim"/>
    <n v="30"/>
    <s v="Sim"/>
    <n v="20"/>
    <n v="3"/>
    <n v="62"/>
  </r>
  <r>
    <n v="3474"/>
    <x v="232"/>
    <x v="2"/>
    <x v="242"/>
    <x v="0"/>
    <x v="2"/>
    <x v="1"/>
    <s v="Não"/>
    <s v="-"/>
    <s v="Sim"/>
    <n v="20"/>
    <n v="15"/>
    <n v="15"/>
  </r>
  <r>
    <n v="3475"/>
    <x v="233"/>
    <x v="1"/>
    <x v="243"/>
    <x v="1"/>
    <x v="1"/>
    <x v="0"/>
    <s v="Não"/>
    <s v="-"/>
    <s v="Não"/>
    <n v="0"/>
    <n v="1"/>
    <n v="4"/>
  </r>
  <r>
    <n v="3476"/>
    <x v="234"/>
    <x v="0"/>
    <x v="244"/>
    <x v="0"/>
    <x v="0"/>
    <x v="2"/>
    <s v="Sim"/>
    <n v="30"/>
    <s v="Sim"/>
    <n v="20"/>
    <n v="7"/>
    <n v="58"/>
  </r>
  <r>
    <n v="3477"/>
    <x v="235"/>
    <x v="2"/>
    <x v="245"/>
    <x v="1"/>
    <x v="2"/>
    <x v="0"/>
    <s v="Não"/>
    <s v="-"/>
    <s v="Sim"/>
    <n v="20"/>
    <n v="10"/>
    <n v="20"/>
  </r>
  <r>
    <n v="3478"/>
    <x v="236"/>
    <x v="1"/>
    <x v="246"/>
    <x v="0"/>
    <x v="1"/>
    <x v="1"/>
    <s v="Não"/>
    <s v="-"/>
    <s v="Não"/>
    <n v="0"/>
    <n v="0"/>
    <n v="5"/>
  </r>
  <r>
    <n v="3479"/>
    <x v="237"/>
    <x v="0"/>
    <x v="247"/>
    <x v="1"/>
    <x v="0"/>
    <x v="0"/>
    <s v="Sim"/>
    <n v="30"/>
    <s v="Sim"/>
    <n v="20"/>
    <n v="20"/>
    <n v="45"/>
  </r>
  <r>
    <n v="3480"/>
    <x v="238"/>
    <x v="2"/>
    <x v="248"/>
    <x v="0"/>
    <x v="2"/>
    <x v="2"/>
    <s v="Não"/>
    <s v="-"/>
    <s v="Sim"/>
    <n v="20"/>
    <n v="15"/>
    <n v="15"/>
  </r>
  <r>
    <n v="3481"/>
    <x v="239"/>
    <x v="1"/>
    <x v="249"/>
    <x v="1"/>
    <x v="1"/>
    <x v="0"/>
    <s v="Não"/>
    <s v="-"/>
    <s v="Não"/>
    <n v="0"/>
    <n v="1"/>
    <n v="4"/>
  </r>
  <r>
    <n v="3482"/>
    <x v="240"/>
    <x v="0"/>
    <x v="250"/>
    <x v="0"/>
    <x v="0"/>
    <x v="1"/>
    <s v="Sim"/>
    <n v="30"/>
    <s v="Sim"/>
    <n v="20"/>
    <n v="3"/>
    <n v="62"/>
  </r>
  <r>
    <n v="3483"/>
    <x v="241"/>
    <x v="2"/>
    <x v="251"/>
    <x v="1"/>
    <x v="2"/>
    <x v="0"/>
    <s v="Não"/>
    <s v="-"/>
    <s v="Sim"/>
    <n v="20"/>
    <n v="10"/>
    <n v="20"/>
  </r>
  <r>
    <n v="3484"/>
    <x v="242"/>
    <x v="1"/>
    <x v="252"/>
    <x v="0"/>
    <x v="1"/>
    <x v="2"/>
    <s v="Não"/>
    <s v="-"/>
    <s v="Não"/>
    <n v="0"/>
    <n v="0"/>
    <n v="5"/>
  </r>
  <r>
    <n v="3485"/>
    <x v="243"/>
    <x v="0"/>
    <x v="253"/>
    <x v="1"/>
    <x v="0"/>
    <x v="0"/>
    <s v="Sim"/>
    <n v="30"/>
    <s v="Sim"/>
    <n v="20"/>
    <n v="15"/>
    <n v="50"/>
  </r>
  <r>
    <n v="3486"/>
    <x v="244"/>
    <x v="1"/>
    <x v="254"/>
    <x v="0"/>
    <x v="1"/>
    <x v="0"/>
    <s v="Não"/>
    <s v="-"/>
    <s v="Não"/>
    <n v="0"/>
    <n v="0"/>
    <n v="5"/>
  </r>
  <r>
    <n v="3487"/>
    <x v="245"/>
    <x v="0"/>
    <x v="255"/>
    <x v="1"/>
    <x v="0"/>
    <x v="2"/>
    <s v="Sim"/>
    <n v="30"/>
    <s v="Sim"/>
    <n v="20"/>
    <n v="7"/>
    <n v="58"/>
  </r>
  <r>
    <n v="3488"/>
    <x v="246"/>
    <x v="2"/>
    <x v="256"/>
    <x v="0"/>
    <x v="2"/>
    <x v="1"/>
    <s v="Não"/>
    <s v="-"/>
    <s v="Sim"/>
    <n v="20"/>
    <n v="10"/>
    <n v="20"/>
  </r>
  <r>
    <n v="3489"/>
    <x v="247"/>
    <x v="1"/>
    <x v="257"/>
    <x v="1"/>
    <x v="1"/>
    <x v="2"/>
    <s v="Não"/>
    <s v="-"/>
    <s v="Não"/>
    <n v="0"/>
    <n v="1"/>
    <n v="4"/>
  </r>
  <r>
    <n v="3490"/>
    <x v="248"/>
    <x v="0"/>
    <x v="258"/>
    <x v="0"/>
    <x v="0"/>
    <x v="0"/>
    <s v="Sim"/>
    <n v="30"/>
    <s v="Sim"/>
    <n v="20"/>
    <n v="15"/>
    <n v="50"/>
  </r>
  <r>
    <n v="3491"/>
    <x v="249"/>
    <x v="2"/>
    <x v="259"/>
    <x v="1"/>
    <x v="2"/>
    <x v="0"/>
    <s v="Não"/>
    <s v="-"/>
    <s v="Sim"/>
    <n v="20"/>
    <n v="5"/>
    <n v="25"/>
  </r>
  <r>
    <n v="3492"/>
    <x v="250"/>
    <x v="1"/>
    <x v="260"/>
    <x v="0"/>
    <x v="1"/>
    <x v="1"/>
    <s v="Não"/>
    <s v="-"/>
    <s v="Não"/>
    <n v="0"/>
    <n v="0"/>
    <n v="5"/>
  </r>
  <r>
    <n v="3493"/>
    <x v="251"/>
    <x v="0"/>
    <x v="261"/>
    <x v="1"/>
    <x v="0"/>
    <x v="2"/>
    <s v="Sim"/>
    <n v="30"/>
    <s v="Sim"/>
    <n v="20"/>
    <n v="20"/>
    <n v="45"/>
  </r>
  <r>
    <n v="3494"/>
    <x v="252"/>
    <x v="2"/>
    <x v="262"/>
    <x v="0"/>
    <x v="2"/>
    <x v="2"/>
    <s v="Não"/>
    <s v="-"/>
    <s v="Sim"/>
    <n v="20"/>
    <n v="12"/>
    <n v="18"/>
  </r>
  <r>
    <n v="3495"/>
    <x v="253"/>
    <x v="1"/>
    <x v="263"/>
    <x v="1"/>
    <x v="1"/>
    <x v="0"/>
    <s v="Não"/>
    <s v="-"/>
    <s v="Não"/>
    <n v="0"/>
    <n v="2"/>
    <n v="3"/>
  </r>
  <r>
    <n v="3496"/>
    <x v="254"/>
    <x v="0"/>
    <x v="264"/>
    <x v="0"/>
    <x v="0"/>
    <x v="1"/>
    <s v="Sim"/>
    <n v="30"/>
    <s v="Sim"/>
    <n v="20"/>
    <n v="5"/>
    <n v="60"/>
  </r>
  <r>
    <n v="3497"/>
    <x v="255"/>
    <x v="2"/>
    <x v="265"/>
    <x v="1"/>
    <x v="2"/>
    <x v="0"/>
    <s v="Não"/>
    <s v="-"/>
    <s v="Sim"/>
    <n v="20"/>
    <n v="10"/>
    <n v="20"/>
  </r>
  <r>
    <n v="3498"/>
    <x v="256"/>
    <x v="1"/>
    <x v="266"/>
    <x v="0"/>
    <x v="1"/>
    <x v="2"/>
    <s v="Não"/>
    <s v="-"/>
    <s v="Não"/>
    <n v="0"/>
    <n v="0"/>
    <n v="5"/>
  </r>
  <r>
    <n v="3499"/>
    <x v="257"/>
    <x v="0"/>
    <x v="267"/>
    <x v="1"/>
    <x v="0"/>
    <x v="0"/>
    <s v="Sim"/>
    <n v="30"/>
    <s v="Sim"/>
    <n v="20"/>
    <n v="3"/>
    <n v="62"/>
  </r>
  <r>
    <n v="3500"/>
    <x v="258"/>
    <x v="2"/>
    <x v="268"/>
    <x v="0"/>
    <x v="2"/>
    <x v="1"/>
    <s v="Não"/>
    <s v="-"/>
    <s v="Sim"/>
    <n v="20"/>
    <n v="15"/>
    <n v="15"/>
  </r>
  <r>
    <n v="3501"/>
    <x v="259"/>
    <x v="1"/>
    <x v="269"/>
    <x v="1"/>
    <x v="1"/>
    <x v="0"/>
    <s v="Não"/>
    <s v="-"/>
    <s v="Não"/>
    <n v="0"/>
    <n v="1"/>
    <n v="4"/>
  </r>
  <r>
    <n v="3502"/>
    <x v="260"/>
    <x v="0"/>
    <x v="270"/>
    <x v="0"/>
    <x v="0"/>
    <x v="2"/>
    <s v="Sim"/>
    <n v="30"/>
    <s v="Sim"/>
    <n v="20"/>
    <n v="7"/>
    <n v="58"/>
  </r>
  <r>
    <n v="3503"/>
    <x v="119"/>
    <x v="2"/>
    <x v="271"/>
    <x v="1"/>
    <x v="2"/>
    <x v="0"/>
    <s v="Não"/>
    <s v="-"/>
    <s v="Sim"/>
    <n v="20"/>
    <n v="10"/>
    <n v="20"/>
  </r>
  <r>
    <n v="3504"/>
    <x v="261"/>
    <x v="1"/>
    <x v="272"/>
    <x v="0"/>
    <x v="1"/>
    <x v="1"/>
    <s v="Não"/>
    <s v="-"/>
    <s v="Não"/>
    <n v="0"/>
    <n v="0"/>
    <n v="5"/>
  </r>
  <r>
    <n v="3505"/>
    <x v="262"/>
    <x v="0"/>
    <x v="273"/>
    <x v="1"/>
    <x v="0"/>
    <x v="0"/>
    <s v="Sim"/>
    <n v="30"/>
    <s v="Sim"/>
    <n v="20"/>
    <n v="20"/>
    <n v="45"/>
  </r>
  <r>
    <n v="3506"/>
    <x v="263"/>
    <x v="2"/>
    <x v="274"/>
    <x v="0"/>
    <x v="2"/>
    <x v="2"/>
    <s v="Não"/>
    <s v="-"/>
    <s v="Sim"/>
    <n v="20"/>
    <n v="15"/>
    <n v="15"/>
  </r>
  <r>
    <n v="3507"/>
    <x v="264"/>
    <x v="1"/>
    <x v="275"/>
    <x v="1"/>
    <x v="1"/>
    <x v="0"/>
    <s v="Não"/>
    <s v="-"/>
    <s v="Não"/>
    <n v="0"/>
    <n v="1"/>
    <n v="4"/>
  </r>
  <r>
    <n v="3508"/>
    <x v="265"/>
    <x v="0"/>
    <x v="276"/>
    <x v="0"/>
    <x v="0"/>
    <x v="1"/>
    <s v="Sim"/>
    <n v="30"/>
    <s v="Sim"/>
    <n v="20"/>
    <n v="3"/>
    <n v="62"/>
  </r>
  <r>
    <n v="3509"/>
    <x v="266"/>
    <x v="2"/>
    <x v="277"/>
    <x v="1"/>
    <x v="2"/>
    <x v="0"/>
    <s v="Não"/>
    <s v="-"/>
    <s v="Sim"/>
    <n v="20"/>
    <n v="10"/>
    <n v="20"/>
  </r>
  <r>
    <n v="3510"/>
    <x v="267"/>
    <x v="1"/>
    <x v="278"/>
    <x v="0"/>
    <x v="1"/>
    <x v="2"/>
    <s v="Não"/>
    <s v="-"/>
    <s v="Não"/>
    <n v="0"/>
    <n v="0"/>
    <n v="5"/>
  </r>
  <r>
    <n v="3511"/>
    <x v="268"/>
    <x v="0"/>
    <x v="279"/>
    <x v="1"/>
    <x v="0"/>
    <x v="0"/>
    <s v="Sim"/>
    <n v="30"/>
    <s v="Sim"/>
    <n v="20"/>
    <n v="15"/>
    <n v="50"/>
  </r>
  <r>
    <n v="3512"/>
    <x v="269"/>
    <x v="2"/>
    <x v="280"/>
    <x v="0"/>
    <x v="2"/>
    <x v="1"/>
    <s v="Não"/>
    <s v="-"/>
    <s v="Sim"/>
    <n v="20"/>
    <n v="15"/>
    <n v="15"/>
  </r>
  <r>
    <n v="3513"/>
    <x v="270"/>
    <x v="1"/>
    <x v="281"/>
    <x v="1"/>
    <x v="1"/>
    <x v="0"/>
    <s v="Não"/>
    <s v="-"/>
    <s v="Não"/>
    <n v="0"/>
    <n v="1"/>
    <n v="4"/>
  </r>
  <r>
    <n v="3514"/>
    <x v="271"/>
    <x v="0"/>
    <x v="282"/>
    <x v="0"/>
    <x v="0"/>
    <x v="2"/>
    <s v="Sim"/>
    <n v="30"/>
    <s v="Sim"/>
    <n v="20"/>
    <n v="7"/>
    <n v="58"/>
  </r>
  <r>
    <n v="3515"/>
    <x v="130"/>
    <x v="2"/>
    <x v="283"/>
    <x v="1"/>
    <x v="2"/>
    <x v="0"/>
    <s v="Não"/>
    <s v="-"/>
    <s v="Sim"/>
    <n v="20"/>
    <n v="10"/>
    <n v="20"/>
  </r>
  <r>
    <n v="3516"/>
    <x v="131"/>
    <x v="1"/>
    <x v="284"/>
    <x v="0"/>
    <x v="1"/>
    <x v="1"/>
    <s v="Não"/>
    <s v="-"/>
    <s v="Não"/>
    <n v="0"/>
    <n v="0"/>
    <n v="5"/>
  </r>
  <r>
    <n v="3517"/>
    <x v="181"/>
    <x v="0"/>
    <x v="285"/>
    <x v="1"/>
    <x v="0"/>
    <x v="0"/>
    <s v="Sim"/>
    <n v="30"/>
    <s v="Sim"/>
    <n v="20"/>
    <n v="20"/>
    <n v="45"/>
  </r>
  <r>
    <n v="3518"/>
    <x v="272"/>
    <x v="2"/>
    <x v="286"/>
    <x v="0"/>
    <x v="2"/>
    <x v="2"/>
    <s v="Não"/>
    <s v="-"/>
    <s v="Sim"/>
    <n v="20"/>
    <n v="12"/>
    <n v="18"/>
  </r>
  <r>
    <n v="3519"/>
    <x v="273"/>
    <x v="1"/>
    <x v="287"/>
    <x v="1"/>
    <x v="1"/>
    <x v="0"/>
    <s v="Não"/>
    <s v="-"/>
    <s v="Não"/>
    <n v="0"/>
    <n v="2"/>
    <n v="3"/>
  </r>
  <r>
    <n v="3520"/>
    <x v="274"/>
    <x v="0"/>
    <x v="288"/>
    <x v="0"/>
    <x v="0"/>
    <x v="1"/>
    <s v="Sim"/>
    <n v="30"/>
    <s v="Sim"/>
    <n v="20"/>
    <n v="5"/>
    <n v="60"/>
  </r>
  <r>
    <n v="3521"/>
    <x v="275"/>
    <x v="2"/>
    <x v="289"/>
    <x v="1"/>
    <x v="2"/>
    <x v="0"/>
    <s v="Não"/>
    <s v="-"/>
    <s v="Sim"/>
    <n v="20"/>
    <n v="10"/>
    <n v="20"/>
  </r>
  <r>
    <n v="3522"/>
    <x v="276"/>
    <x v="1"/>
    <x v="290"/>
    <x v="0"/>
    <x v="1"/>
    <x v="2"/>
    <s v="Não"/>
    <s v="-"/>
    <s v="Não"/>
    <n v="0"/>
    <n v="0"/>
    <n v="5"/>
  </r>
  <r>
    <n v="3523"/>
    <x v="277"/>
    <x v="0"/>
    <x v="291"/>
    <x v="1"/>
    <x v="0"/>
    <x v="0"/>
    <s v="Sim"/>
    <n v="30"/>
    <s v="Sim"/>
    <n v="20"/>
    <n v="3"/>
    <n v="62"/>
  </r>
  <r>
    <n v="3524"/>
    <x v="278"/>
    <x v="2"/>
    <x v="292"/>
    <x v="0"/>
    <x v="2"/>
    <x v="1"/>
    <s v="Não"/>
    <s v="-"/>
    <s v="Sim"/>
    <n v="20"/>
    <n v="15"/>
    <n v="15"/>
  </r>
  <r>
    <n v="3525"/>
    <x v="279"/>
    <x v="1"/>
    <x v="293"/>
    <x v="1"/>
    <x v="1"/>
    <x v="0"/>
    <s v="Não"/>
    <s v="-"/>
    <s v="Não"/>
    <n v="0"/>
    <n v="1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n v="65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2DBAE-879F-43E7-B0F7-FA41BD4D7B5B}" name="Tabela dinâmica1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N22:P39" firstHeaderRow="1" firstDataRow="1" firstDataCol="0"/>
  <pivotFields count="2">
    <pivotField numFmtId="44" showAll="0"/>
    <pivotField numFmtId="44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263F6-DB59-4DF2-A33C-C11424E0DBD4}" name="Tabela dinâmica1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J15:K19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22" showAll="0"/>
    <pivotField showAll="0">
      <items count="3">
        <item x="1"/>
        <item x="0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EA0CE6-27F7-46BC-988A-ED8C19253621}" name="Tabela dinâmica1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D50:D51" firstHeaderRow="1" firstDataRow="1" firstDataCol="0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22" showAll="0"/>
    <pivotField showAll="0">
      <items count="3">
        <item x="1"/>
        <item x="0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pageFields count="1">
    <pageField fld="6" hier="-1"/>
  </pageFields>
  <dataFields count="1">
    <dataField name="Soma de Coupon Value" fld="11" baseField="0" baseItem="0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D5C61-D030-4FD8-8387-5F59269324EF}" name="Tabela dinâ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33:D3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22" showAll="0"/>
    <pivotField showAll="0">
      <items count="3">
        <item x="1"/>
        <item x="0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4" baseItem="0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8E5A1-39C6-4143-B487-7574D85C63E3}" name="Tabela dinâmica2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J28:K32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22" showAll="0"/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/>
  </dataFields>
  <formats count="1">
    <format dxfId="18">
      <pivotArea outline="0" collapsedLevelsAreSubtotals="1" fieldPosition="0"/>
    </format>
  </formats>
  <chartFormats count="11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41A4D-45B6-4C1A-B162-B27D529578A8}" name="Tabela dinâmica2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R13:T30" firstHeaderRow="1" firstDataRow="1" firstDataCol="0"/>
  <pivotFields count="2">
    <pivotField numFmtId="44" showAll="0"/>
    <pivotField numFmtId="44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FFFA6-BFD6-463F-9348-895C7B340389}" name="Tabela dinâ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18:E22" firstHeaderRow="0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22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oma de EA Play Season Pass" fld="8" baseField="2" baseItem="0"/>
    <dataField name="Soma de Preço de assinatura" fld="5" baseField="0" baseItem="0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F2ECE-18AC-4060-AB27-E29E5784FF02}" name="Tabela dinâmica2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Q20:R21" firstHeaderRow="0" firstDataRow="1" firstDataCol="0"/>
  <pivotFields count="2">
    <pivotField dataField="1" numFmtId="44" showAll="0">
      <items count="2">
        <item x="0"/>
        <item t="default"/>
      </items>
    </pivotField>
    <pivotField dataField="1" numFmtId="44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oma de Lucro" fld="0" baseField="0" baseItem="0" numFmtId="44"/>
    <dataField name="Soma de Lucro (ANO ANTERIOR)" fld="1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88290420-1DF4-4C70-A61F-CFA099BAF97C}" autoFormatId="16" applyNumberFormats="0" applyBorderFormats="0" applyFontFormats="0" applyPatternFormats="0" applyAlignmentFormats="0" applyWidthHeightFormats="0">
  <queryTableRefresh nextId="14">
    <queryTableFields count="13">
      <queryTableField id="1" name="Subscriber ID" tableColumnId="14"/>
      <queryTableField id="2" name="Name" tableColumnId="2"/>
      <queryTableField id="3" name="Plan" tableColumnId="3"/>
      <queryTableField id="4" name="Start Date" tableColumnId="4"/>
      <queryTableField id="5" name="Auto Renovação" tableColumnId="5"/>
      <queryTableField id="6" name="Preço de assinatura" tableColumnId="6"/>
      <queryTableField id="7" name="Tipo de Assinatura" tableColumnId="7"/>
      <queryTableField id="8" name="EA Play Season Pass" tableColumnId="8"/>
      <queryTableField id="9" name="EA Play Season Pass_x000a_Price" tableColumnId="9"/>
      <queryTableField id="10" name="Minecraft Season Pass" tableColumnId="10"/>
      <queryTableField id="11" name="Minecraft Season Pass Price" tableColumnId="11"/>
      <queryTableField id="12" name="Coupon Value" tableColumnId="12"/>
      <queryTableField id="13" name="Total Value" tableColumnId="1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_de_Assinatura" xr10:uid="{C0F2244E-0158-4306-817E-EFD2CBFFE20B}" sourceName="Tipo de Assinatura">
  <pivotTables>
    <pivotTable tabId="3" name="Tabela dinâmica12"/>
    <pivotTable tabId="3" name="Tabela dinâmica13"/>
    <pivotTable tabId="3" name="Tabela dinâmica15"/>
    <pivotTable tabId="3" name="Tabela dinâmica17"/>
    <pivotTable tabId="3" name="Tabela dinâmica23"/>
  </pivotTables>
  <data>
    <tabular pivotCacheId="738745565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e Assinatura" xr10:uid="{6C36468D-7A09-425B-A8F0-6626DB50CFBB}" cache="SegmentaçãodeDados_Tipo_de_Assinatura" caption="Tipo de Assinatura" style="SlicerStyleLight6 2" rowHeight="257175"/>
</slicer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33">
  <autoFilter ref="A1:M296" xr:uid="{34E0E886-4200-4B36-97B3-63DB74FF40A0}"/>
  <tableColumns count="13">
    <tableColumn id="1" xr3:uid="{C4A90516-688A-46BF-9167-EA16C2A8A652}" name="Subscriber ID" dataDxfId="32"/>
    <tableColumn id="2" xr3:uid="{53DD39D0-2220-4121-9E9D-4EAA7E151C0F}" name="Name" dataDxfId="31"/>
    <tableColumn id="3" xr3:uid="{4F5FF271-4C57-4BE0-8F2C-F82C8551625C}" name="Plan" dataDxfId="30"/>
    <tableColumn id="4" xr3:uid="{8C17EB93-79B9-4E55-B8F7-BEB82F8253E9}" name="Start Date" dataDxfId="29"/>
    <tableColumn id="5" xr3:uid="{48CEDF9B-1689-482A-A828-5CCE7713264A}" name="Auto ReNãovação" dataDxfId="28"/>
    <tableColumn id="6" xr3:uid="{78B82374-9AA7-4E38-AE4F-78CDE6C83720}" name="Preço de assinatura" dataDxfId="27" dataCellStyle="Moeda"/>
    <tableColumn id="7" xr3:uid="{F2433F68-AF33-49D0-B1FB-19A396074EDE}" name="Tipo de Assinatura" dataDxfId="26"/>
    <tableColumn id="8" xr3:uid="{FD4D9C95-F6E5-4933-9068-A71FF7DF9343}" name="EA Play Season Pass" dataDxfId="25"/>
    <tableColumn id="13" xr3:uid="{978DD0D2-834E-4CE4-A39B-30976086932F}" name="EA Play Season Pass_x000a_Price" dataDxfId="24" dataCellStyle="Moeda"/>
    <tableColumn id="9" xr3:uid="{6E29F111-C395-4580-9DAD-3407D9E8B1A4}" name="Minecraft Season Pass" dataDxfId="23"/>
    <tableColumn id="10" xr3:uid="{EF544EAA-7F25-4FD5-A10E-8E62804DB9E3}" name="Minecraft Season Pass Price" dataDxfId="22" dataCellStyle="Moeda"/>
    <tableColumn id="11" xr3:uid="{7F6EB64A-1F07-4E48-9F0F-AC7D9DCD26F8}" name="Coupon Value" dataDxfId="21" dataCellStyle="Moeda"/>
    <tableColumn id="12" xr3:uid="{2B04ABC8-DE6F-426E-ADC0-D8AFC68CA58E}" name="Total Value" dataDxfId="20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98383B7-2A3A-4575-958E-AE93A996798D}" name="Tabela10" displayName="Tabela10" ref="M15:N16" totalsRowShown="0" dataDxfId="14" dataCellStyle="Moeda">
  <autoFilter ref="M15:N16" xr:uid="{498383B7-2A3A-4575-958E-AE93A996798D}"/>
  <tableColumns count="2">
    <tableColumn id="1" xr3:uid="{8F0CB18D-5B9E-4D05-9E86-D8511FF9709C}" name="Lucro" dataDxfId="13" dataCellStyle="Moeda">
      <calculatedColumnFormula>GETPIVOTDATA("Total Value",$J$15)</calculatedColumnFormula>
    </tableColumn>
    <tableColumn id="2" xr3:uid="{FE1C2BDE-8DA2-4E7B-8209-BF4B81F87D61}" name="Lucro (ANO ANTERIOR)" dataDxfId="12" dataCellStyle="Moe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8F4A8B-2248-4AB1-9B83-378CD7858CBE}" name="Tabela1__3" displayName="Tabela1__3" ref="A1:M296" tableType="queryTable" totalsRowShown="0">
  <autoFilter ref="A1:M296" xr:uid="{958F4A8B-2248-4AB1-9B83-378CD7858CBE}"/>
  <tableColumns count="13">
    <tableColumn id="14" xr3:uid="{5D6658C3-16C1-404C-8764-EA5E697A2711}" uniqueName="14" name="Subscriber ID" queryTableFieldId="1"/>
    <tableColumn id="2" xr3:uid="{8EF4E23D-BA58-426F-B87C-B4320566DEA9}" uniqueName="2" name="Name" queryTableFieldId="2" dataDxfId="11"/>
    <tableColumn id="3" xr3:uid="{347531EF-798F-479E-A6E1-6FEE0F1CB4F6}" uniqueName="3" name="Plan" queryTableFieldId="3" dataDxfId="10"/>
    <tableColumn id="4" xr3:uid="{9F9081C9-023A-4396-8891-7DE9025406E9}" uniqueName="4" name="Start Date" queryTableFieldId="4" dataDxfId="9"/>
    <tableColumn id="5" xr3:uid="{C5C8FC8F-9063-4CA7-A9F0-2C5DBBF87E4E}" uniqueName="5" name="Auto Renovação" queryTableFieldId="5" dataDxfId="8"/>
    <tableColumn id="6" xr3:uid="{5BEE60C1-E293-4B80-A0D3-BBEFA809B9E2}" uniqueName="6" name="Preço de assinatura" queryTableFieldId="6"/>
    <tableColumn id="7" xr3:uid="{BE77C413-77E9-4C5C-BD81-9716F7869234}" uniqueName="7" name="Tipo de Assinatura" queryTableFieldId="7" dataDxfId="7"/>
    <tableColumn id="8" xr3:uid="{B1699669-F065-421B-847C-F458A2ED8D39}" uniqueName="8" name="EA Play Season Pass" queryTableFieldId="8" dataDxfId="6"/>
    <tableColumn id="9" xr3:uid="{291967A4-2989-452A-B65E-3E4DABB5BA9D}" uniqueName="9" name="EA Play Season Pass_x000a_Price" queryTableFieldId="9"/>
    <tableColumn id="10" xr3:uid="{7C990FA6-BF90-4561-A0F6-E8882574ED9B}" uniqueName="10" name="Minecraft Season Pass" queryTableFieldId="10" dataDxfId="5"/>
    <tableColumn id="11" xr3:uid="{45CF4A03-13A2-4F85-843E-5C724087C44C}" uniqueName="11" name="Minecraft Season Pass Price" queryTableFieldId="11"/>
    <tableColumn id="12" xr3:uid="{713A4120-7C99-446B-B4EB-0A0D54C6094F}" uniqueName="12" name="Coupon Value" queryTableFieldId="12"/>
    <tableColumn id="13" xr3:uid="{6C9E8EBD-4CB4-41E2-A8E7-18A417D215EF}" uniqueName="13" name="Total Valu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2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189" zoomScale="90" zoomScaleNormal="90" workbookViewId="0">
      <selection activeCell="J6" sqref="J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329</v>
      </c>
      <c r="F1" s="9" t="s">
        <v>319</v>
      </c>
      <c r="G1" s="9" t="s">
        <v>314</v>
      </c>
      <c r="H1" s="9" t="s">
        <v>307</v>
      </c>
      <c r="I1" s="9" t="s">
        <v>308</v>
      </c>
      <c r="J1" s="9" t="s">
        <v>28</v>
      </c>
      <c r="K1" s="9" t="s">
        <v>29</v>
      </c>
      <c r="L1" s="9" t="s">
        <v>30</v>
      </c>
      <c r="M1" s="9" t="s">
        <v>31</v>
      </c>
    </row>
    <row r="2" spans="1:13" ht="16.5" customHeight="1" x14ac:dyDescent="0.25">
      <c r="A2" s="8">
        <v>3231</v>
      </c>
      <c r="B2" s="8" t="s">
        <v>15</v>
      </c>
      <c r="C2" s="8" t="s">
        <v>16</v>
      </c>
      <c r="D2" s="10">
        <v>45292</v>
      </c>
      <c r="E2" s="8" t="s">
        <v>328</v>
      </c>
      <c r="F2" s="11">
        <v>15</v>
      </c>
      <c r="G2" s="8" t="s">
        <v>316</v>
      </c>
      <c r="H2" s="8" t="s">
        <v>17</v>
      </c>
      <c r="I2" s="11">
        <v>30</v>
      </c>
      <c r="J2" s="8" t="s">
        <v>17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19</v>
      </c>
      <c r="C3" s="8" t="s">
        <v>20</v>
      </c>
      <c r="D3" s="10">
        <v>45306</v>
      </c>
      <c r="E3" s="8" t="s">
        <v>21</v>
      </c>
      <c r="F3" s="11">
        <v>5</v>
      </c>
      <c r="G3" s="8" t="s">
        <v>22</v>
      </c>
      <c r="H3" s="8" t="s">
        <v>21</v>
      </c>
      <c r="I3" s="11" t="s">
        <v>309</v>
      </c>
      <c r="J3" s="8" t="s">
        <v>21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23</v>
      </c>
      <c r="C4" s="8" t="s">
        <v>24</v>
      </c>
      <c r="D4" s="10">
        <v>45332</v>
      </c>
      <c r="E4" s="8" t="s">
        <v>17</v>
      </c>
      <c r="F4" s="11">
        <v>10</v>
      </c>
      <c r="G4" s="8" t="s">
        <v>25</v>
      </c>
      <c r="H4" s="8" t="s">
        <v>21</v>
      </c>
      <c r="I4" s="11" t="s">
        <v>309</v>
      </c>
      <c r="J4" s="8" t="s">
        <v>17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26</v>
      </c>
      <c r="C5" s="8" t="s">
        <v>16</v>
      </c>
      <c r="D5" s="10">
        <v>45342</v>
      </c>
      <c r="E5" s="8" t="s">
        <v>327</v>
      </c>
      <c r="F5" s="11">
        <v>15</v>
      </c>
      <c r="G5" s="8" t="s">
        <v>316</v>
      </c>
      <c r="H5" s="8" t="s">
        <v>17</v>
      </c>
      <c r="I5" s="11">
        <v>30</v>
      </c>
      <c r="J5" s="8" t="s">
        <v>17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27</v>
      </c>
      <c r="C6" s="8" t="s">
        <v>20</v>
      </c>
      <c r="D6" s="10">
        <v>45356</v>
      </c>
      <c r="E6" s="8" t="s">
        <v>17</v>
      </c>
      <c r="F6" s="11">
        <v>5</v>
      </c>
      <c r="G6" s="8" t="s">
        <v>18</v>
      </c>
      <c r="H6" s="8" t="s">
        <v>21</v>
      </c>
      <c r="I6" s="11" t="s">
        <v>309</v>
      </c>
      <c r="J6" s="8" t="s">
        <v>21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32</v>
      </c>
      <c r="C7" s="8" t="s">
        <v>24</v>
      </c>
      <c r="D7" s="10">
        <v>45353</v>
      </c>
      <c r="E7" s="8" t="s">
        <v>21</v>
      </c>
      <c r="F7" s="11">
        <v>10</v>
      </c>
      <c r="G7" s="8" t="s">
        <v>18</v>
      </c>
      <c r="H7" s="8" t="s">
        <v>21</v>
      </c>
      <c r="I7" s="11" t="s">
        <v>309</v>
      </c>
      <c r="J7" s="8" t="s">
        <v>17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33</v>
      </c>
      <c r="C8" s="8" t="s">
        <v>16</v>
      </c>
      <c r="D8" s="10">
        <v>45354</v>
      </c>
      <c r="E8" s="8" t="s">
        <v>328</v>
      </c>
      <c r="F8" s="11">
        <v>15</v>
      </c>
      <c r="G8" s="8" t="s">
        <v>317</v>
      </c>
      <c r="H8" s="8" t="s">
        <v>17</v>
      </c>
      <c r="I8" s="11">
        <v>30</v>
      </c>
      <c r="J8" s="8" t="s">
        <v>17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34</v>
      </c>
      <c r="C9" s="8" t="s">
        <v>20</v>
      </c>
      <c r="D9" s="10">
        <v>45355</v>
      </c>
      <c r="E9" s="8" t="s">
        <v>17</v>
      </c>
      <c r="F9" s="11">
        <v>5</v>
      </c>
      <c r="G9" s="8" t="s">
        <v>22</v>
      </c>
      <c r="H9" s="8" t="s">
        <v>21</v>
      </c>
      <c r="I9" s="11" t="s">
        <v>309</v>
      </c>
      <c r="J9" s="8" t="s">
        <v>21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35</v>
      </c>
      <c r="C10" s="8" t="s">
        <v>16</v>
      </c>
      <c r="D10" s="10">
        <v>45356</v>
      </c>
      <c r="E10" s="8" t="s">
        <v>327</v>
      </c>
      <c r="F10" s="11">
        <v>15</v>
      </c>
      <c r="G10" s="8" t="s">
        <v>316</v>
      </c>
      <c r="H10" s="8" t="s">
        <v>17</v>
      </c>
      <c r="I10" s="11">
        <v>30</v>
      </c>
      <c r="J10" s="8" t="s">
        <v>17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36</v>
      </c>
      <c r="C11" s="8" t="s">
        <v>24</v>
      </c>
      <c r="D11" s="10">
        <v>45357</v>
      </c>
      <c r="E11" s="8" t="s">
        <v>17</v>
      </c>
      <c r="F11" s="11">
        <v>10</v>
      </c>
      <c r="G11" s="8" t="s">
        <v>25</v>
      </c>
      <c r="H11" s="8" t="s">
        <v>21</v>
      </c>
      <c r="I11" s="11" t="s">
        <v>309</v>
      </c>
      <c r="J11" s="8" t="s">
        <v>17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37</v>
      </c>
      <c r="C12" s="8" t="s">
        <v>20</v>
      </c>
      <c r="D12" s="10">
        <v>45358</v>
      </c>
      <c r="E12" s="8" t="s">
        <v>21</v>
      </c>
      <c r="F12" s="11">
        <v>5</v>
      </c>
      <c r="G12" s="8" t="s">
        <v>18</v>
      </c>
      <c r="H12" s="8" t="s">
        <v>21</v>
      </c>
      <c r="I12" s="11" t="s">
        <v>309</v>
      </c>
      <c r="J12" s="8" t="s">
        <v>21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38</v>
      </c>
      <c r="C13" s="8" t="s">
        <v>16</v>
      </c>
      <c r="D13" s="10">
        <v>45359</v>
      </c>
      <c r="E13" s="8" t="s">
        <v>328</v>
      </c>
      <c r="F13" s="11">
        <v>15</v>
      </c>
      <c r="G13" s="8" t="s">
        <v>315</v>
      </c>
      <c r="H13" s="8" t="s">
        <v>17</v>
      </c>
      <c r="I13" s="11">
        <v>30</v>
      </c>
      <c r="J13" s="8" t="s">
        <v>17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39</v>
      </c>
      <c r="C14" s="8" t="s">
        <v>24</v>
      </c>
      <c r="D14" s="10">
        <v>45360</v>
      </c>
      <c r="E14" s="8" t="s">
        <v>21</v>
      </c>
      <c r="F14" s="11">
        <v>10</v>
      </c>
      <c r="G14" s="8" t="s">
        <v>18</v>
      </c>
      <c r="H14" s="8" t="s">
        <v>21</v>
      </c>
      <c r="I14" s="11" t="s">
        <v>309</v>
      </c>
      <c r="J14" s="8" t="s">
        <v>17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40</v>
      </c>
      <c r="C15" s="8" t="s">
        <v>20</v>
      </c>
      <c r="D15" s="10">
        <v>45361</v>
      </c>
      <c r="E15" s="8" t="s">
        <v>17</v>
      </c>
      <c r="F15" s="11">
        <v>5</v>
      </c>
      <c r="G15" s="8" t="s">
        <v>25</v>
      </c>
      <c r="H15" s="8" t="s">
        <v>21</v>
      </c>
      <c r="I15" s="11" t="s">
        <v>309</v>
      </c>
      <c r="J15" s="8" t="s">
        <v>21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41</v>
      </c>
      <c r="C16" s="8" t="s">
        <v>16</v>
      </c>
      <c r="D16" s="10">
        <v>45362</v>
      </c>
      <c r="E16" s="8" t="s">
        <v>327</v>
      </c>
      <c r="F16" s="11">
        <v>15</v>
      </c>
      <c r="G16" s="8" t="s">
        <v>316</v>
      </c>
      <c r="H16" s="8" t="s">
        <v>17</v>
      </c>
      <c r="I16" s="11">
        <v>30</v>
      </c>
      <c r="J16" s="8" t="s">
        <v>17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42</v>
      </c>
      <c r="C17" s="8" t="s">
        <v>24</v>
      </c>
      <c r="D17" s="10">
        <v>45363</v>
      </c>
      <c r="E17" s="8" t="s">
        <v>17</v>
      </c>
      <c r="F17" s="11">
        <v>10</v>
      </c>
      <c r="G17" s="8" t="s">
        <v>22</v>
      </c>
      <c r="H17" s="8" t="s">
        <v>21</v>
      </c>
      <c r="I17" s="11" t="s">
        <v>309</v>
      </c>
      <c r="J17" s="8" t="s">
        <v>17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43</v>
      </c>
      <c r="C18" s="8" t="s">
        <v>20</v>
      </c>
      <c r="D18" s="10">
        <v>45364</v>
      </c>
      <c r="E18" s="8" t="s">
        <v>21</v>
      </c>
      <c r="F18" s="11">
        <v>5</v>
      </c>
      <c r="G18" s="8" t="s">
        <v>18</v>
      </c>
      <c r="H18" s="8" t="s">
        <v>21</v>
      </c>
      <c r="I18" s="11" t="s">
        <v>309</v>
      </c>
      <c r="J18" s="8" t="s">
        <v>21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44</v>
      </c>
      <c r="C19" s="8" t="s">
        <v>16</v>
      </c>
      <c r="D19" s="10">
        <v>45365</v>
      </c>
      <c r="E19" s="8" t="s">
        <v>328</v>
      </c>
      <c r="F19" s="11">
        <v>15</v>
      </c>
      <c r="G19" s="8" t="s">
        <v>317</v>
      </c>
      <c r="H19" s="8" t="s">
        <v>17</v>
      </c>
      <c r="I19" s="11">
        <v>30</v>
      </c>
      <c r="J19" s="8" t="s">
        <v>17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45</v>
      </c>
      <c r="C20" s="8" t="s">
        <v>24</v>
      </c>
      <c r="D20" s="10">
        <v>45366</v>
      </c>
      <c r="E20" s="8" t="s">
        <v>21</v>
      </c>
      <c r="F20" s="11">
        <v>10</v>
      </c>
      <c r="G20" s="8" t="s">
        <v>18</v>
      </c>
      <c r="H20" s="8" t="s">
        <v>21</v>
      </c>
      <c r="I20" s="11" t="s">
        <v>309</v>
      </c>
      <c r="J20" s="8" t="s">
        <v>17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46</v>
      </c>
      <c r="C21" s="8" t="s">
        <v>20</v>
      </c>
      <c r="D21" s="10">
        <v>45367</v>
      </c>
      <c r="E21" s="8" t="s">
        <v>17</v>
      </c>
      <c r="F21" s="11">
        <v>5</v>
      </c>
      <c r="G21" s="8" t="s">
        <v>22</v>
      </c>
      <c r="H21" s="8" t="s">
        <v>21</v>
      </c>
      <c r="I21" s="11" t="s">
        <v>309</v>
      </c>
      <c r="J21" s="8" t="s">
        <v>21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47</v>
      </c>
      <c r="C22" s="8" t="s">
        <v>16</v>
      </c>
      <c r="D22" s="10">
        <v>45368</v>
      </c>
      <c r="E22" s="8" t="s">
        <v>327</v>
      </c>
      <c r="F22" s="11">
        <v>15</v>
      </c>
      <c r="G22" s="8" t="s">
        <v>316</v>
      </c>
      <c r="H22" s="8" t="s">
        <v>17</v>
      </c>
      <c r="I22" s="11">
        <v>30</v>
      </c>
      <c r="J22" s="8" t="s">
        <v>17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48</v>
      </c>
      <c r="C23" s="8" t="s">
        <v>24</v>
      </c>
      <c r="D23" s="10">
        <v>45369</v>
      </c>
      <c r="E23" s="8" t="s">
        <v>17</v>
      </c>
      <c r="F23" s="11">
        <v>10</v>
      </c>
      <c r="G23" s="8" t="s">
        <v>25</v>
      </c>
      <c r="H23" s="8" t="s">
        <v>21</v>
      </c>
      <c r="I23" s="11" t="s">
        <v>309</v>
      </c>
      <c r="J23" s="8" t="s">
        <v>17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49</v>
      </c>
      <c r="C24" s="8" t="s">
        <v>20</v>
      </c>
      <c r="D24" s="10">
        <v>45370</v>
      </c>
      <c r="E24" s="8" t="s">
        <v>21</v>
      </c>
      <c r="F24" s="11">
        <v>5</v>
      </c>
      <c r="G24" s="8" t="s">
        <v>18</v>
      </c>
      <c r="H24" s="8" t="s">
        <v>21</v>
      </c>
      <c r="I24" s="11" t="s">
        <v>309</v>
      </c>
      <c r="J24" s="8" t="s">
        <v>21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50</v>
      </c>
      <c r="C25" s="8" t="s">
        <v>16</v>
      </c>
      <c r="D25" s="10">
        <v>45371</v>
      </c>
      <c r="E25" s="8" t="s">
        <v>328</v>
      </c>
      <c r="F25" s="11">
        <v>15</v>
      </c>
      <c r="G25" s="8" t="s">
        <v>315</v>
      </c>
      <c r="H25" s="8" t="s">
        <v>17</v>
      </c>
      <c r="I25" s="11">
        <v>30</v>
      </c>
      <c r="J25" s="8" t="s">
        <v>17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51</v>
      </c>
      <c r="C26" s="8" t="s">
        <v>24</v>
      </c>
      <c r="D26" s="10">
        <v>45372</v>
      </c>
      <c r="E26" s="8" t="s">
        <v>21</v>
      </c>
      <c r="F26" s="11">
        <v>10</v>
      </c>
      <c r="G26" s="8" t="s">
        <v>18</v>
      </c>
      <c r="H26" s="8" t="s">
        <v>21</v>
      </c>
      <c r="I26" s="11" t="s">
        <v>309</v>
      </c>
      <c r="J26" s="8" t="s">
        <v>17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52</v>
      </c>
      <c r="C27" s="8" t="s">
        <v>20</v>
      </c>
      <c r="D27" s="10">
        <v>45373</v>
      </c>
      <c r="E27" s="8" t="s">
        <v>17</v>
      </c>
      <c r="F27" s="11">
        <v>5</v>
      </c>
      <c r="G27" s="8" t="s">
        <v>25</v>
      </c>
      <c r="H27" s="8" t="s">
        <v>21</v>
      </c>
      <c r="I27" s="11" t="s">
        <v>309</v>
      </c>
      <c r="J27" s="8" t="s">
        <v>21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53</v>
      </c>
      <c r="C28" s="8" t="s">
        <v>16</v>
      </c>
      <c r="D28" s="10">
        <v>45374</v>
      </c>
      <c r="E28" s="8" t="s">
        <v>327</v>
      </c>
      <c r="F28" s="11">
        <v>15</v>
      </c>
      <c r="G28" s="8" t="s">
        <v>316</v>
      </c>
      <c r="H28" s="8" t="s">
        <v>17</v>
      </c>
      <c r="I28" s="11">
        <v>30</v>
      </c>
      <c r="J28" s="8" t="s">
        <v>17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54</v>
      </c>
      <c r="C29" s="8" t="s">
        <v>24</v>
      </c>
      <c r="D29" s="10">
        <v>45375</v>
      </c>
      <c r="E29" s="8" t="s">
        <v>17</v>
      </c>
      <c r="F29" s="11">
        <v>10</v>
      </c>
      <c r="G29" s="8" t="s">
        <v>22</v>
      </c>
      <c r="H29" s="8" t="s">
        <v>21</v>
      </c>
      <c r="I29" s="11" t="s">
        <v>309</v>
      </c>
      <c r="J29" s="8" t="s">
        <v>17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55</v>
      </c>
      <c r="C30" s="8" t="s">
        <v>20</v>
      </c>
      <c r="D30" s="10">
        <v>45376</v>
      </c>
      <c r="E30" s="8" t="s">
        <v>21</v>
      </c>
      <c r="F30" s="11">
        <v>5</v>
      </c>
      <c r="G30" s="8" t="s">
        <v>18</v>
      </c>
      <c r="H30" s="8" t="s">
        <v>21</v>
      </c>
      <c r="I30" s="11" t="s">
        <v>309</v>
      </c>
      <c r="J30" s="8" t="s">
        <v>21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56</v>
      </c>
      <c r="C31" s="8" t="s">
        <v>16</v>
      </c>
      <c r="D31" s="10">
        <v>45377</v>
      </c>
      <c r="E31" s="8" t="s">
        <v>328</v>
      </c>
      <c r="F31" s="11">
        <v>15</v>
      </c>
      <c r="G31" s="8" t="s">
        <v>317</v>
      </c>
      <c r="H31" s="8" t="s">
        <v>17</v>
      </c>
      <c r="I31" s="11">
        <v>30</v>
      </c>
      <c r="J31" s="8" t="s">
        <v>17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57</v>
      </c>
      <c r="C32" s="8" t="s">
        <v>24</v>
      </c>
      <c r="D32" s="10">
        <v>45378</v>
      </c>
      <c r="E32" s="8" t="s">
        <v>21</v>
      </c>
      <c r="F32" s="11">
        <v>10</v>
      </c>
      <c r="G32" s="8" t="s">
        <v>18</v>
      </c>
      <c r="H32" s="8" t="s">
        <v>21</v>
      </c>
      <c r="I32" s="11" t="s">
        <v>309</v>
      </c>
      <c r="J32" s="8" t="s">
        <v>17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58</v>
      </c>
      <c r="C33" s="8" t="s">
        <v>20</v>
      </c>
      <c r="D33" s="10">
        <v>45379</v>
      </c>
      <c r="E33" s="8" t="s">
        <v>17</v>
      </c>
      <c r="F33" s="11">
        <v>5</v>
      </c>
      <c r="G33" s="8" t="s">
        <v>22</v>
      </c>
      <c r="H33" s="8" t="s">
        <v>21</v>
      </c>
      <c r="I33" s="11" t="s">
        <v>309</v>
      </c>
      <c r="J33" s="8" t="s">
        <v>21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59</v>
      </c>
      <c r="C34" s="8" t="s">
        <v>16</v>
      </c>
      <c r="D34" s="10">
        <v>45380</v>
      </c>
      <c r="E34" s="8" t="s">
        <v>327</v>
      </c>
      <c r="F34" s="11">
        <v>15</v>
      </c>
      <c r="G34" s="8" t="s">
        <v>316</v>
      </c>
      <c r="H34" s="8" t="s">
        <v>17</v>
      </c>
      <c r="I34" s="11">
        <v>30</v>
      </c>
      <c r="J34" s="8" t="s">
        <v>17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60</v>
      </c>
      <c r="C35" s="8" t="s">
        <v>24</v>
      </c>
      <c r="D35" s="10">
        <v>45381</v>
      </c>
      <c r="E35" s="8" t="s">
        <v>17</v>
      </c>
      <c r="F35" s="11">
        <v>10</v>
      </c>
      <c r="G35" s="8" t="s">
        <v>25</v>
      </c>
      <c r="H35" s="8" t="s">
        <v>21</v>
      </c>
      <c r="I35" s="11" t="s">
        <v>309</v>
      </c>
      <c r="J35" s="8" t="s">
        <v>17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61</v>
      </c>
      <c r="C36" s="8" t="s">
        <v>20</v>
      </c>
      <c r="D36" s="10">
        <v>45382</v>
      </c>
      <c r="E36" s="8" t="s">
        <v>21</v>
      </c>
      <c r="F36" s="11">
        <v>5</v>
      </c>
      <c r="G36" s="8" t="s">
        <v>18</v>
      </c>
      <c r="H36" s="8" t="s">
        <v>21</v>
      </c>
      <c r="I36" s="11" t="s">
        <v>309</v>
      </c>
      <c r="J36" s="8" t="s">
        <v>21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62</v>
      </c>
      <c r="C37" s="8" t="s">
        <v>20</v>
      </c>
      <c r="D37" s="10">
        <v>45383</v>
      </c>
      <c r="E37" s="8" t="s">
        <v>17</v>
      </c>
      <c r="F37" s="11">
        <v>5</v>
      </c>
      <c r="G37" s="8" t="s">
        <v>18</v>
      </c>
      <c r="H37" s="8" t="s">
        <v>21</v>
      </c>
      <c r="I37" s="11" t="s">
        <v>309</v>
      </c>
      <c r="J37" s="8" t="s">
        <v>21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63</v>
      </c>
      <c r="C38" s="8" t="s">
        <v>16</v>
      </c>
      <c r="D38" s="10">
        <v>45384</v>
      </c>
      <c r="E38" s="8" t="s">
        <v>327</v>
      </c>
      <c r="F38" s="11">
        <v>15</v>
      </c>
      <c r="G38" s="8" t="s">
        <v>317</v>
      </c>
      <c r="H38" s="8" t="s">
        <v>17</v>
      </c>
      <c r="I38" s="11">
        <v>30</v>
      </c>
      <c r="J38" s="8" t="s">
        <v>17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64</v>
      </c>
      <c r="C39" s="8" t="s">
        <v>24</v>
      </c>
      <c r="D39" s="10">
        <v>45385</v>
      </c>
      <c r="E39" s="8" t="s">
        <v>17</v>
      </c>
      <c r="F39" s="11">
        <v>10</v>
      </c>
      <c r="G39" s="8" t="s">
        <v>22</v>
      </c>
      <c r="H39" s="8" t="s">
        <v>21</v>
      </c>
      <c r="I39" s="11" t="s">
        <v>309</v>
      </c>
      <c r="J39" s="8" t="s">
        <v>17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65</v>
      </c>
      <c r="C40" s="8" t="s">
        <v>20</v>
      </c>
      <c r="D40" s="10">
        <v>45386</v>
      </c>
      <c r="E40" s="8" t="s">
        <v>21</v>
      </c>
      <c r="F40" s="11">
        <v>5</v>
      </c>
      <c r="G40" s="8" t="s">
        <v>25</v>
      </c>
      <c r="H40" s="8" t="s">
        <v>21</v>
      </c>
      <c r="I40" s="11" t="s">
        <v>309</v>
      </c>
      <c r="J40" s="8" t="s">
        <v>21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66</v>
      </c>
      <c r="C41" s="8" t="s">
        <v>16</v>
      </c>
      <c r="D41" s="10">
        <v>45387</v>
      </c>
      <c r="E41" s="8" t="s">
        <v>328</v>
      </c>
      <c r="F41" s="11">
        <v>15</v>
      </c>
      <c r="G41" s="8" t="s">
        <v>316</v>
      </c>
      <c r="H41" s="8" t="s">
        <v>17</v>
      </c>
      <c r="I41" s="11">
        <v>30</v>
      </c>
      <c r="J41" s="8" t="s">
        <v>17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67</v>
      </c>
      <c r="C42" s="8" t="s">
        <v>24</v>
      </c>
      <c r="D42" s="10">
        <v>45388</v>
      </c>
      <c r="E42" s="8" t="s">
        <v>21</v>
      </c>
      <c r="F42" s="11">
        <v>10</v>
      </c>
      <c r="G42" s="8" t="s">
        <v>18</v>
      </c>
      <c r="H42" s="8" t="s">
        <v>21</v>
      </c>
      <c r="I42" s="11" t="s">
        <v>309</v>
      </c>
      <c r="J42" s="8" t="s">
        <v>17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68</v>
      </c>
      <c r="C43" s="8" t="s">
        <v>20</v>
      </c>
      <c r="D43" s="10">
        <v>45389</v>
      </c>
      <c r="E43" s="8" t="s">
        <v>17</v>
      </c>
      <c r="F43" s="11">
        <v>5</v>
      </c>
      <c r="G43" s="8" t="s">
        <v>22</v>
      </c>
      <c r="H43" s="8" t="s">
        <v>21</v>
      </c>
      <c r="I43" s="11" t="s">
        <v>309</v>
      </c>
      <c r="J43" s="8" t="s">
        <v>21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69</v>
      </c>
      <c r="C44" s="8" t="s">
        <v>16</v>
      </c>
      <c r="D44" s="10">
        <v>45390</v>
      </c>
      <c r="E44" s="8" t="s">
        <v>327</v>
      </c>
      <c r="F44" s="11">
        <v>15</v>
      </c>
      <c r="G44" s="8" t="s">
        <v>317</v>
      </c>
      <c r="H44" s="8" t="s">
        <v>17</v>
      </c>
      <c r="I44" s="11">
        <v>30</v>
      </c>
      <c r="J44" s="8" t="s">
        <v>17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70</v>
      </c>
      <c r="C45" s="8" t="s">
        <v>24</v>
      </c>
      <c r="D45" s="10">
        <v>45391</v>
      </c>
      <c r="E45" s="8" t="s">
        <v>17</v>
      </c>
      <c r="F45" s="11">
        <v>10</v>
      </c>
      <c r="G45" s="8" t="s">
        <v>25</v>
      </c>
      <c r="H45" s="8" t="s">
        <v>21</v>
      </c>
      <c r="I45" s="11" t="s">
        <v>309</v>
      </c>
      <c r="J45" s="8" t="s">
        <v>17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71</v>
      </c>
      <c r="C46" s="8" t="s">
        <v>20</v>
      </c>
      <c r="D46" s="10">
        <v>45392</v>
      </c>
      <c r="E46" s="8" t="s">
        <v>21</v>
      </c>
      <c r="F46" s="11">
        <v>5</v>
      </c>
      <c r="G46" s="8" t="s">
        <v>18</v>
      </c>
      <c r="H46" s="8" t="s">
        <v>21</v>
      </c>
      <c r="I46" s="11" t="s">
        <v>309</v>
      </c>
      <c r="J46" s="8" t="s">
        <v>21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72</v>
      </c>
      <c r="C47" s="8" t="s">
        <v>16</v>
      </c>
      <c r="D47" s="10">
        <v>45393</v>
      </c>
      <c r="E47" s="8" t="s">
        <v>328</v>
      </c>
      <c r="F47" s="11">
        <v>15</v>
      </c>
      <c r="G47" s="8" t="s">
        <v>315</v>
      </c>
      <c r="H47" s="8" t="s">
        <v>17</v>
      </c>
      <c r="I47" s="11">
        <v>30</v>
      </c>
      <c r="J47" s="8" t="s">
        <v>17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73</v>
      </c>
      <c r="C48" s="8" t="s">
        <v>24</v>
      </c>
      <c r="D48" s="10">
        <v>45394</v>
      </c>
      <c r="E48" s="8" t="s">
        <v>21</v>
      </c>
      <c r="F48" s="11">
        <v>10</v>
      </c>
      <c r="G48" s="8" t="s">
        <v>18</v>
      </c>
      <c r="H48" s="8" t="s">
        <v>21</v>
      </c>
      <c r="I48" s="11" t="s">
        <v>309</v>
      </c>
      <c r="J48" s="8" t="s">
        <v>17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74</v>
      </c>
      <c r="C49" s="8" t="s">
        <v>20</v>
      </c>
      <c r="D49" s="10">
        <v>45395</v>
      </c>
      <c r="E49" s="8" t="s">
        <v>17</v>
      </c>
      <c r="F49" s="11">
        <v>5</v>
      </c>
      <c r="G49" s="8" t="s">
        <v>25</v>
      </c>
      <c r="H49" s="8" t="s">
        <v>21</v>
      </c>
      <c r="I49" s="11" t="s">
        <v>309</v>
      </c>
      <c r="J49" s="8" t="s">
        <v>21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75</v>
      </c>
      <c r="C50" s="8" t="s">
        <v>16</v>
      </c>
      <c r="D50" s="10">
        <v>45396</v>
      </c>
      <c r="E50" s="8" t="s">
        <v>327</v>
      </c>
      <c r="F50" s="11">
        <v>15</v>
      </c>
      <c r="G50" s="8" t="s">
        <v>316</v>
      </c>
      <c r="H50" s="8" t="s">
        <v>17</v>
      </c>
      <c r="I50" s="11">
        <v>30</v>
      </c>
      <c r="J50" s="8" t="s">
        <v>17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76</v>
      </c>
      <c r="C51" s="8" t="s">
        <v>24</v>
      </c>
      <c r="D51" s="10">
        <v>45397</v>
      </c>
      <c r="E51" s="8" t="s">
        <v>17</v>
      </c>
      <c r="F51" s="11">
        <v>10</v>
      </c>
      <c r="G51" s="8" t="s">
        <v>22</v>
      </c>
      <c r="H51" s="8" t="s">
        <v>21</v>
      </c>
      <c r="I51" s="11" t="s">
        <v>309</v>
      </c>
      <c r="J51" s="8" t="s">
        <v>17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77</v>
      </c>
      <c r="C52" s="8" t="s">
        <v>20</v>
      </c>
      <c r="D52" s="10">
        <v>45398</v>
      </c>
      <c r="E52" s="8" t="s">
        <v>21</v>
      </c>
      <c r="F52" s="11">
        <v>5</v>
      </c>
      <c r="G52" s="8" t="s">
        <v>18</v>
      </c>
      <c r="H52" s="8" t="s">
        <v>21</v>
      </c>
      <c r="I52" s="11" t="s">
        <v>309</v>
      </c>
      <c r="J52" s="8" t="s">
        <v>21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78</v>
      </c>
      <c r="C53" s="8" t="s">
        <v>16</v>
      </c>
      <c r="D53" s="10">
        <v>45399</v>
      </c>
      <c r="E53" s="8" t="s">
        <v>328</v>
      </c>
      <c r="F53" s="11">
        <v>15</v>
      </c>
      <c r="G53" s="8" t="s">
        <v>317</v>
      </c>
      <c r="H53" s="8" t="s">
        <v>17</v>
      </c>
      <c r="I53" s="11">
        <v>30</v>
      </c>
      <c r="J53" s="8" t="s">
        <v>17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79</v>
      </c>
      <c r="C54" s="8" t="s">
        <v>24</v>
      </c>
      <c r="D54" s="10">
        <v>45400</v>
      </c>
      <c r="E54" s="8" t="s">
        <v>21</v>
      </c>
      <c r="F54" s="11">
        <v>10</v>
      </c>
      <c r="G54" s="8" t="s">
        <v>18</v>
      </c>
      <c r="H54" s="8" t="s">
        <v>21</v>
      </c>
      <c r="I54" s="11" t="s">
        <v>309</v>
      </c>
      <c r="J54" s="8" t="s">
        <v>17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80</v>
      </c>
      <c r="C55" s="8" t="s">
        <v>20</v>
      </c>
      <c r="D55" s="10">
        <v>45401</v>
      </c>
      <c r="E55" s="8" t="s">
        <v>17</v>
      </c>
      <c r="F55" s="11">
        <v>5</v>
      </c>
      <c r="G55" s="8" t="s">
        <v>22</v>
      </c>
      <c r="H55" s="8" t="s">
        <v>21</v>
      </c>
      <c r="I55" s="11" t="s">
        <v>309</v>
      </c>
      <c r="J55" s="8" t="s">
        <v>21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81</v>
      </c>
      <c r="C56" s="8" t="s">
        <v>16</v>
      </c>
      <c r="D56" s="10">
        <v>45402</v>
      </c>
      <c r="E56" s="8" t="s">
        <v>327</v>
      </c>
      <c r="F56" s="11">
        <v>15</v>
      </c>
      <c r="G56" s="8" t="s">
        <v>316</v>
      </c>
      <c r="H56" s="8" t="s">
        <v>17</v>
      </c>
      <c r="I56" s="11">
        <v>30</v>
      </c>
      <c r="J56" s="8" t="s">
        <v>17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82</v>
      </c>
      <c r="C57" s="8" t="s">
        <v>24</v>
      </c>
      <c r="D57" s="10">
        <v>45403</v>
      </c>
      <c r="E57" s="8" t="s">
        <v>17</v>
      </c>
      <c r="F57" s="11">
        <v>10</v>
      </c>
      <c r="G57" s="8" t="s">
        <v>25</v>
      </c>
      <c r="H57" s="8" t="s">
        <v>21</v>
      </c>
      <c r="I57" s="11" t="s">
        <v>309</v>
      </c>
      <c r="J57" s="8" t="s">
        <v>17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83</v>
      </c>
      <c r="C58" s="8" t="s">
        <v>20</v>
      </c>
      <c r="D58" s="10">
        <v>45404</v>
      </c>
      <c r="E58" s="8" t="s">
        <v>21</v>
      </c>
      <c r="F58" s="11">
        <v>5</v>
      </c>
      <c r="G58" s="8" t="s">
        <v>18</v>
      </c>
      <c r="H58" s="8" t="s">
        <v>21</v>
      </c>
      <c r="I58" s="11" t="s">
        <v>309</v>
      </c>
      <c r="J58" s="8" t="s">
        <v>21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84</v>
      </c>
      <c r="C59" s="8" t="s">
        <v>16</v>
      </c>
      <c r="D59" s="10">
        <v>45405</v>
      </c>
      <c r="E59" s="8" t="s">
        <v>328</v>
      </c>
      <c r="F59" s="11">
        <v>15</v>
      </c>
      <c r="G59" s="8" t="s">
        <v>315</v>
      </c>
      <c r="H59" s="8" t="s">
        <v>17</v>
      </c>
      <c r="I59" s="11">
        <v>30</v>
      </c>
      <c r="J59" s="8" t="s">
        <v>17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85</v>
      </c>
      <c r="C60" s="8" t="s">
        <v>24</v>
      </c>
      <c r="D60" s="10">
        <v>45406</v>
      </c>
      <c r="E60" s="8" t="s">
        <v>21</v>
      </c>
      <c r="F60" s="11">
        <v>10</v>
      </c>
      <c r="G60" s="8" t="s">
        <v>18</v>
      </c>
      <c r="H60" s="8" t="s">
        <v>21</v>
      </c>
      <c r="I60" s="11" t="s">
        <v>309</v>
      </c>
      <c r="J60" s="8" t="s">
        <v>17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86</v>
      </c>
      <c r="C61" s="8" t="s">
        <v>20</v>
      </c>
      <c r="D61" s="10">
        <v>45407</v>
      </c>
      <c r="E61" s="8" t="s">
        <v>17</v>
      </c>
      <c r="F61" s="11">
        <v>5</v>
      </c>
      <c r="G61" s="8" t="s">
        <v>25</v>
      </c>
      <c r="H61" s="8" t="s">
        <v>21</v>
      </c>
      <c r="I61" s="11" t="s">
        <v>309</v>
      </c>
      <c r="J61" s="8" t="s">
        <v>21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87</v>
      </c>
      <c r="C62" s="8" t="s">
        <v>16</v>
      </c>
      <c r="D62" s="10">
        <v>45408</v>
      </c>
      <c r="E62" s="8" t="s">
        <v>327</v>
      </c>
      <c r="F62" s="11">
        <v>15</v>
      </c>
      <c r="G62" s="8" t="s">
        <v>316</v>
      </c>
      <c r="H62" s="8" t="s">
        <v>17</v>
      </c>
      <c r="I62" s="11">
        <v>30</v>
      </c>
      <c r="J62" s="8" t="s">
        <v>17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88</v>
      </c>
      <c r="C63" s="8" t="s">
        <v>24</v>
      </c>
      <c r="D63" s="10">
        <v>45409</v>
      </c>
      <c r="E63" s="8" t="s">
        <v>17</v>
      </c>
      <c r="F63" s="11">
        <v>10</v>
      </c>
      <c r="G63" s="8" t="s">
        <v>22</v>
      </c>
      <c r="H63" s="8" t="s">
        <v>21</v>
      </c>
      <c r="I63" s="11" t="s">
        <v>309</v>
      </c>
      <c r="J63" s="8" t="s">
        <v>17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89</v>
      </c>
      <c r="C64" s="8" t="s">
        <v>20</v>
      </c>
      <c r="D64" s="10">
        <v>45410</v>
      </c>
      <c r="E64" s="8" t="s">
        <v>21</v>
      </c>
      <c r="F64" s="11">
        <v>5</v>
      </c>
      <c r="G64" s="8" t="s">
        <v>18</v>
      </c>
      <c r="H64" s="8" t="s">
        <v>21</v>
      </c>
      <c r="I64" s="11" t="s">
        <v>309</v>
      </c>
      <c r="J64" s="8" t="s">
        <v>21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90</v>
      </c>
      <c r="C65" s="8" t="s">
        <v>16</v>
      </c>
      <c r="D65" s="10">
        <v>45411</v>
      </c>
      <c r="E65" s="8" t="s">
        <v>328</v>
      </c>
      <c r="F65" s="11">
        <v>15</v>
      </c>
      <c r="G65" s="8" t="s">
        <v>317</v>
      </c>
      <c r="H65" s="8" t="s">
        <v>17</v>
      </c>
      <c r="I65" s="11">
        <v>30</v>
      </c>
      <c r="J65" s="8" t="s">
        <v>17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91</v>
      </c>
      <c r="C66" s="8" t="s">
        <v>24</v>
      </c>
      <c r="D66" s="10">
        <v>45412</v>
      </c>
      <c r="E66" s="8" t="s">
        <v>21</v>
      </c>
      <c r="F66" s="11">
        <v>10</v>
      </c>
      <c r="G66" s="8" t="s">
        <v>18</v>
      </c>
      <c r="H66" s="8" t="s">
        <v>21</v>
      </c>
      <c r="I66" s="11" t="s">
        <v>309</v>
      </c>
      <c r="J66" s="8" t="s">
        <v>17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92</v>
      </c>
      <c r="C67" s="8" t="s">
        <v>20</v>
      </c>
      <c r="D67" s="10">
        <v>45413</v>
      </c>
      <c r="E67" s="8" t="s">
        <v>21</v>
      </c>
      <c r="F67" s="11">
        <v>5</v>
      </c>
      <c r="G67" s="8" t="s">
        <v>18</v>
      </c>
      <c r="H67" s="8" t="s">
        <v>21</v>
      </c>
      <c r="I67" s="11" t="s">
        <v>309</v>
      </c>
      <c r="J67" s="8" t="s">
        <v>21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93</v>
      </c>
      <c r="C68" s="8" t="s">
        <v>16</v>
      </c>
      <c r="D68" s="10">
        <v>45414</v>
      </c>
      <c r="E68" s="8" t="s">
        <v>328</v>
      </c>
      <c r="F68" s="11">
        <v>15</v>
      </c>
      <c r="G68" s="8" t="s">
        <v>317</v>
      </c>
      <c r="H68" s="8" t="s">
        <v>17</v>
      </c>
      <c r="I68" s="11">
        <v>30</v>
      </c>
      <c r="J68" s="8" t="s">
        <v>17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94</v>
      </c>
      <c r="C69" s="8" t="s">
        <v>24</v>
      </c>
      <c r="D69" s="10">
        <v>45415</v>
      </c>
      <c r="E69" s="8" t="s">
        <v>21</v>
      </c>
      <c r="F69" s="11">
        <v>10</v>
      </c>
      <c r="G69" s="8" t="s">
        <v>22</v>
      </c>
      <c r="H69" s="8" t="s">
        <v>21</v>
      </c>
      <c r="I69" s="11" t="s">
        <v>309</v>
      </c>
      <c r="J69" s="8" t="s">
        <v>17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95</v>
      </c>
      <c r="C70" s="8" t="s">
        <v>20</v>
      </c>
      <c r="D70" s="10">
        <v>45416</v>
      </c>
      <c r="E70" s="8" t="s">
        <v>17</v>
      </c>
      <c r="F70" s="11">
        <v>5</v>
      </c>
      <c r="G70" s="8" t="s">
        <v>25</v>
      </c>
      <c r="H70" s="8" t="s">
        <v>21</v>
      </c>
      <c r="I70" s="11" t="s">
        <v>309</v>
      </c>
      <c r="J70" s="8" t="s">
        <v>21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96</v>
      </c>
      <c r="C71" s="8" t="s">
        <v>16</v>
      </c>
      <c r="D71" s="10">
        <v>45417</v>
      </c>
      <c r="E71" s="8" t="s">
        <v>327</v>
      </c>
      <c r="F71" s="11">
        <v>15</v>
      </c>
      <c r="G71" s="8" t="s">
        <v>316</v>
      </c>
      <c r="H71" s="8" t="s">
        <v>17</v>
      </c>
      <c r="I71" s="11">
        <v>30</v>
      </c>
      <c r="J71" s="8" t="s">
        <v>17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97</v>
      </c>
      <c r="C72" s="8" t="s">
        <v>24</v>
      </c>
      <c r="D72" s="10">
        <v>45418</v>
      </c>
      <c r="E72" s="8" t="s">
        <v>17</v>
      </c>
      <c r="F72" s="11">
        <v>10</v>
      </c>
      <c r="G72" s="8" t="s">
        <v>18</v>
      </c>
      <c r="H72" s="8" t="s">
        <v>21</v>
      </c>
      <c r="I72" s="11" t="s">
        <v>309</v>
      </c>
      <c r="J72" s="8" t="s">
        <v>17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98</v>
      </c>
      <c r="C73" s="8" t="s">
        <v>20</v>
      </c>
      <c r="D73" s="10">
        <v>45419</v>
      </c>
      <c r="E73" s="8" t="s">
        <v>21</v>
      </c>
      <c r="F73" s="11">
        <v>5</v>
      </c>
      <c r="G73" s="8" t="s">
        <v>22</v>
      </c>
      <c r="H73" s="8" t="s">
        <v>21</v>
      </c>
      <c r="I73" s="11" t="s">
        <v>309</v>
      </c>
      <c r="J73" s="8" t="s">
        <v>21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99</v>
      </c>
      <c r="C74" s="8" t="s">
        <v>16</v>
      </c>
      <c r="D74" s="10">
        <v>45420</v>
      </c>
      <c r="E74" s="8" t="s">
        <v>328</v>
      </c>
      <c r="F74" s="11">
        <v>15</v>
      </c>
      <c r="G74" s="8" t="s">
        <v>317</v>
      </c>
      <c r="H74" s="8" t="s">
        <v>17</v>
      </c>
      <c r="I74" s="11">
        <v>30</v>
      </c>
      <c r="J74" s="8" t="s">
        <v>17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100</v>
      </c>
      <c r="C75" s="8" t="s">
        <v>24</v>
      </c>
      <c r="D75" s="10">
        <v>45421</v>
      </c>
      <c r="E75" s="8" t="s">
        <v>21</v>
      </c>
      <c r="F75" s="11">
        <v>10</v>
      </c>
      <c r="G75" s="8" t="s">
        <v>25</v>
      </c>
      <c r="H75" s="8" t="s">
        <v>21</v>
      </c>
      <c r="I75" s="11" t="s">
        <v>309</v>
      </c>
      <c r="J75" s="8" t="s">
        <v>17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101</v>
      </c>
      <c r="C76" s="8" t="s">
        <v>20</v>
      </c>
      <c r="D76" s="10">
        <v>45422</v>
      </c>
      <c r="E76" s="8" t="s">
        <v>17</v>
      </c>
      <c r="F76" s="11">
        <v>5</v>
      </c>
      <c r="G76" s="8" t="s">
        <v>18</v>
      </c>
      <c r="H76" s="8" t="s">
        <v>21</v>
      </c>
      <c r="I76" s="11" t="s">
        <v>309</v>
      </c>
      <c r="J76" s="8" t="s">
        <v>21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102</v>
      </c>
      <c r="C77" s="8" t="s">
        <v>16</v>
      </c>
      <c r="D77" s="10">
        <v>45423</v>
      </c>
      <c r="E77" s="8" t="s">
        <v>327</v>
      </c>
      <c r="F77" s="11">
        <v>15</v>
      </c>
      <c r="G77" s="8" t="s">
        <v>315</v>
      </c>
      <c r="H77" s="8" t="s">
        <v>17</v>
      </c>
      <c r="I77" s="11">
        <v>30</v>
      </c>
      <c r="J77" s="8" t="s">
        <v>17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103</v>
      </c>
      <c r="C78" s="8" t="s">
        <v>24</v>
      </c>
      <c r="D78" s="10">
        <v>45424</v>
      </c>
      <c r="E78" s="8" t="s">
        <v>17</v>
      </c>
      <c r="F78" s="11">
        <v>10</v>
      </c>
      <c r="G78" s="8" t="s">
        <v>18</v>
      </c>
      <c r="H78" s="8" t="s">
        <v>21</v>
      </c>
      <c r="I78" s="11" t="s">
        <v>309</v>
      </c>
      <c r="J78" s="8" t="s">
        <v>17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104</v>
      </c>
      <c r="C79" s="8" t="s">
        <v>20</v>
      </c>
      <c r="D79" s="10">
        <v>45425</v>
      </c>
      <c r="E79" s="8" t="s">
        <v>21</v>
      </c>
      <c r="F79" s="11">
        <v>5</v>
      </c>
      <c r="G79" s="8" t="s">
        <v>25</v>
      </c>
      <c r="H79" s="8" t="s">
        <v>21</v>
      </c>
      <c r="I79" s="11" t="s">
        <v>309</v>
      </c>
      <c r="J79" s="8" t="s">
        <v>21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105</v>
      </c>
      <c r="C80" s="8" t="s">
        <v>16</v>
      </c>
      <c r="D80" s="10">
        <v>45426</v>
      </c>
      <c r="E80" s="8" t="s">
        <v>328</v>
      </c>
      <c r="F80" s="11">
        <v>15</v>
      </c>
      <c r="G80" s="8" t="s">
        <v>316</v>
      </c>
      <c r="H80" s="8" t="s">
        <v>17</v>
      </c>
      <c r="I80" s="11">
        <v>30</v>
      </c>
      <c r="J80" s="8" t="s">
        <v>17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106</v>
      </c>
      <c r="C81" s="8" t="s">
        <v>24</v>
      </c>
      <c r="D81" s="10">
        <v>45427</v>
      </c>
      <c r="E81" s="8" t="s">
        <v>21</v>
      </c>
      <c r="F81" s="11">
        <v>10</v>
      </c>
      <c r="G81" s="8" t="s">
        <v>22</v>
      </c>
      <c r="H81" s="8" t="s">
        <v>21</v>
      </c>
      <c r="I81" s="11" t="s">
        <v>309</v>
      </c>
      <c r="J81" s="8" t="s">
        <v>17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107</v>
      </c>
      <c r="C82" s="8" t="s">
        <v>20</v>
      </c>
      <c r="D82" s="10">
        <v>45428</v>
      </c>
      <c r="E82" s="8" t="s">
        <v>17</v>
      </c>
      <c r="F82" s="11">
        <v>5</v>
      </c>
      <c r="G82" s="8" t="s">
        <v>18</v>
      </c>
      <c r="H82" s="8" t="s">
        <v>21</v>
      </c>
      <c r="I82" s="11" t="s">
        <v>309</v>
      </c>
      <c r="J82" s="8" t="s">
        <v>21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108</v>
      </c>
      <c r="C83" s="8" t="s">
        <v>16</v>
      </c>
      <c r="D83" s="10">
        <v>45429</v>
      </c>
      <c r="E83" s="8" t="s">
        <v>327</v>
      </c>
      <c r="F83" s="11">
        <v>15</v>
      </c>
      <c r="G83" s="8" t="s">
        <v>317</v>
      </c>
      <c r="H83" s="8" t="s">
        <v>17</v>
      </c>
      <c r="I83" s="11">
        <v>30</v>
      </c>
      <c r="J83" s="8" t="s">
        <v>17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109</v>
      </c>
      <c r="C84" s="8" t="s">
        <v>24</v>
      </c>
      <c r="D84" s="10">
        <v>45430</v>
      </c>
      <c r="E84" s="8" t="s">
        <v>17</v>
      </c>
      <c r="F84" s="11">
        <v>10</v>
      </c>
      <c r="G84" s="8" t="s">
        <v>18</v>
      </c>
      <c r="H84" s="8" t="s">
        <v>21</v>
      </c>
      <c r="I84" s="11" t="s">
        <v>309</v>
      </c>
      <c r="J84" s="8" t="s">
        <v>17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110</v>
      </c>
      <c r="C85" s="8" t="s">
        <v>20</v>
      </c>
      <c r="D85" s="10">
        <v>45431</v>
      </c>
      <c r="E85" s="8" t="s">
        <v>21</v>
      </c>
      <c r="F85" s="11">
        <v>5</v>
      </c>
      <c r="G85" s="8" t="s">
        <v>22</v>
      </c>
      <c r="H85" s="8" t="s">
        <v>21</v>
      </c>
      <c r="I85" s="11" t="s">
        <v>309</v>
      </c>
      <c r="J85" s="8" t="s">
        <v>21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111</v>
      </c>
      <c r="C86" s="8" t="s">
        <v>16</v>
      </c>
      <c r="D86" s="10">
        <v>45432</v>
      </c>
      <c r="E86" s="8" t="s">
        <v>328</v>
      </c>
      <c r="F86" s="11">
        <v>15</v>
      </c>
      <c r="G86" s="8" t="s">
        <v>316</v>
      </c>
      <c r="H86" s="8" t="s">
        <v>17</v>
      </c>
      <c r="I86" s="11">
        <v>30</v>
      </c>
      <c r="J86" s="8" t="s">
        <v>17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112</v>
      </c>
      <c r="C87" s="8" t="s">
        <v>24</v>
      </c>
      <c r="D87" s="10">
        <v>45433</v>
      </c>
      <c r="E87" s="8" t="s">
        <v>21</v>
      </c>
      <c r="F87" s="11">
        <v>10</v>
      </c>
      <c r="G87" s="8" t="s">
        <v>25</v>
      </c>
      <c r="H87" s="8" t="s">
        <v>21</v>
      </c>
      <c r="I87" s="11" t="s">
        <v>309</v>
      </c>
      <c r="J87" s="8" t="s">
        <v>17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113</v>
      </c>
      <c r="C88" s="8" t="s">
        <v>20</v>
      </c>
      <c r="D88" s="10">
        <v>45434</v>
      </c>
      <c r="E88" s="8" t="s">
        <v>17</v>
      </c>
      <c r="F88" s="11">
        <v>5</v>
      </c>
      <c r="G88" s="8" t="s">
        <v>18</v>
      </c>
      <c r="H88" s="8" t="s">
        <v>21</v>
      </c>
      <c r="I88" s="11" t="s">
        <v>309</v>
      </c>
      <c r="J88" s="8" t="s">
        <v>21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114</v>
      </c>
      <c r="C89" s="8" t="s">
        <v>16</v>
      </c>
      <c r="D89" s="10">
        <v>45435</v>
      </c>
      <c r="E89" s="8" t="s">
        <v>327</v>
      </c>
      <c r="F89" s="11">
        <v>15</v>
      </c>
      <c r="G89" s="8" t="s">
        <v>315</v>
      </c>
      <c r="H89" s="8" t="s">
        <v>17</v>
      </c>
      <c r="I89" s="11">
        <v>30</v>
      </c>
      <c r="J89" s="8" t="s">
        <v>17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115</v>
      </c>
      <c r="C90" s="8" t="s">
        <v>24</v>
      </c>
      <c r="D90" s="10">
        <v>45436</v>
      </c>
      <c r="E90" s="8" t="s">
        <v>17</v>
      </c>
      <c r="F90" s="11">
        <v>10</v>
      </c>
      <c r="G90" s="8" t="s">
        <v>18</v>
      </c>
      <c r="H90" s="8" t="s">
        <v>21</v>
      </c>
      <c r="I90" s="11" t="s">
        <v>309</v>
      </c>
      <c r="J90" s="8" t="s">
        <v>17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116</v>
      </c>
      <c r="C91" s="8" t="s">
        <v>20</v>
      </c>
      <c r="D91" s="10">
        <v>45437</v>
      </c>
      <c r="E91" s="8" t="s">
        <v>21</v>
      </c>
      <c r="F91" s="11">
        <v>5</v>
      </c>
      <c r="G91" s="8" t="s">
        <v>25</v>
      </c>
      <c r="H91" s="8" t="s">
        <v>21</v>
      </c>
      <c r="I91" s="11" t="s">
        <v>309</v>
      </c>
      <c r="J91" s="8" t="s">
        <v>21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117</v>
      </c>
      <c r="C92" s="8" t="s">
        <v>16</v>
      </c>
      <c r="D92" s="10">
        <v>45438</v>
      </c>
      <c r="E92" s="8" t="s">
        <v>328</v>
      </c>
      <c r="F92" s="11">
        <v>15</v>
      </c>
      <c r="G92" s="8" t="s">
        <v>316</v>
      </c>
      <c r="H92" s="8" t="s">
        <v>17</v>
      </c>
      <c r="I92" s="11">
        <v>30</v>
      </c>
      <c r="J92" s="8" t="s">
        <v>17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118</v>
      </c>
      <c r="C93" s="8" t="s">
        <v>24</v>
      </c>
      <c r="D93" s="10">
        <v>45439</v>
      </c>
      <c r="E93" s="8" t="s">
        <v>21</v>
      </c>
      <c r="F93" s="11">
        <v>10</v>
      </c>
      <c r="G93" s="8" t="s">
        <v>22</v>
      </c>
      <c r="H93" s="8" t="s">
        <v>21</v>
      </c>
      <c r="I93" s="11" t="s">
        <v>309</v>
      </c>
      <c r="J93" s="8" t="s">
        <v>17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119</v>
      </c>
      <c r="C94" s="8" t="s">
        <v>20</v>
      </c>
      <c r="D94" s="10">
        <v>45440</v>
      </c>
      <c r="E94" s="8" t="s">
        <v>17</v>
      </c>
      <c r="F94" s="11">
        <v>5</v>
      </c>
      <c r="G94" s="8" t="s">
        <v>18</v>
      </c>
      <c r="H94" s="8" t="s">
        <v>21</v>
      </c>
      <c r="I94" s="11" t="s">
        <v>309</v>
      </c>
      <c r="J94" s="8" t="s">
        <v>21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120</v>
      </c>
      <c r="C95" s="8" t="s">
        <v>16</v>
      </c>
      <c r="D95" s="10">
        <v>45441</v>
      </c>
      <c r="E95" s="8" t="s">
        <v>327</v>
      </c>
      <c r="F95" s="11">
        <v>15</v>
      </c>
      <c r="G95" s="8" t="s">
        <v>317</v>
      </c>
      <c r="H95" s="8" t="s">
        <v>17</v>
      </c>
      <c r="I95" s="11">
        <v>30</v>
      </c>
      <c r="J95" s="8" t="s">
        <v>17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121</v>
      </c>
      <c r="C96" s="8" t="s">
        <v>24</v>
      </c>
      <c r="D96" s="10">
        <v>45442</v>
      </c>
      <c r="E96" s="8" t="s">
        <v>17</v>
      </c>
      <c r="F96" s="11">
        <v>10</v>
      </c>
      <c r="G96" s="8" t="s">
        <v>25</v>
      </c>
      <c r="H96" s="8" t="s">
        <v>21</v>
      </c>
      <c r="I96" s="11" t="s">
        <v>309</v>
      </c>
      <c r="J96" s="8" t="s">
        <v>17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122</v>
      </c>
      <c r="C97" s="8" t="s">
        <v>20</v>
      </c>
      <c r="D97" s="10">
        <v>45443</v>
      </c>
      <c r="E97" s="8" t="s">
        <v>21</v>
      </c>
      <c r="F97" s="11">
        <v>5</v>
      </c>
      <c r="G97" s="8" t="s">
        <v>22</v>
      </c>
      <c r="H97" s="8" t="s">
        <v>21</v>
      </c>
      <c r="I97" s="11" t="s">
        <v>309</v>
      </c>
      <c r="J97" s="8" t="s">
        <v>21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123</v>
      </c>
      <c r="C98" s="8" t="s">
        <v>16</v>
      </c>
      <c r="D98" s="10">
        <v>45444</v>
      </c>
      <c r="E98" s="8" t="s">
        <v>328</v>
      </c>
      <c r="F98" s="11">
        <v>15</v>
      </c>
      <c r="G98" s="8" t="s">
        <v>316</v>
      </c>
      <c r="H98" s="8" t="s">
        <v>17</v>
      </c>
      <c r="I98" s="11">
        <v>30</v>
      </c>
      <c r="J98" s="8" t="s">
        <v>17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124</v>
      </c>
      <c r="C99" s="8" t="s">
        <v>24</v>
      </c>
      <c r="D99" s="10">
        <v>45445</v>
      </c>
      <c r="E99" s="8" t="s">
        <v>21</v>
      </c>
      <c r="F99" s="11">
        <v>10</v>
      </c>
      <c r="G99" s="8" t="s">
        <v>22</v>
      </c>
      <c r="H99" s="8" t="s">
        <v>21</v>
      </c>
      <c r="I99" s="11" t="s">
        <v>309</v>
      </c>
      <c r="J99" s="8" t="s">
        <v>17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125</v>
      </c>
      <c r="C100" s="8" t="s">
        <v>20</v>
      </c>
      <c r="D100" s="10">
        <v>45446</v>
      </c>
      <c r="E100" s="8" t="s">
        <v>17</v>
      </c>
      <c r="F100" s="11">
        <v>5</v>
      </c>
      <c r="G100" s="8" t="s">
        <v>25</v>
      </c>
      <c r="H100" s="8" t="s">
        <v>21</v>
      </c>
      <c r="I100" s="11" t="s">
        <v>309</v>
      </c>
      <c r="J100" s="8" t="s">
        <v>21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126</v>
      </c>
      <c r="C101" s="8" t="s">
        <v>16</v>
      </c>
      <c r="D101" s="10">
        <v>45447</v>
      </c>
      <c r="E101" s="8" t="s">
        <v>327</v>
      </c>
      <c r="F101" s="11">
        <v>15</v>
      </c>
      <c r="G101" s="8" t="s">
        <v>316</v>
      </c>
      <c r="H101" s="8" t="s">
        <v>17</v>
      </c>
      <c r="I101" s="11">
        <v>30</v>
      </c>
      <c r="J101" s="8" t="s">
        <v>17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127</v>
      </c>
      <c r="C102" s="8" t="s">
        <v>24</v>
      </c>
      <c r="D102" s="10">
        <v>45448</v>
      </c>
      <c r="E102" s="8" t="s">
        <v>17</v>
      </c>
      <c r="F102" s="11">
        <v>10</v>
      </c>
      <c r="G102" s="8" t="s">
        <v>18</v>
      </c>
      <c r="H102" s="8" t="s">
        <v>21</v>
      </c>
      <c r="I102" s="11" t="s">
        <v>309</v>
      </c>
      <c r="J102" s="8" t="s">
        <v>17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128</v>
      </c>
      <c r="C103" s="8" t="s">
        <v>20</v>
      </c>
      <c r="D103" s="10">
        <v>45449</v>
      </c>
      <c r="E103" s="8" t="s">
        <v>21</v>
      </c>
      <c r="F103" s="11">
        <v>5</v>
      </c>
      <c r="G103" s="8" t="s">
        <v>22</v>
      </c>
      <c r="H103" s="8" t="s">
        <v>21</v>
      </c>
      <c r="I103" s="11" t="s">
        <v>309</v>
      </c>
      <c r="J103" s="8" t="s">
        <v>21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129</v>
      </c>
      <c r="C104" s="8" t="s">
        <v>16</v>
      </c>
      <c r="D104" s="10">
        <v>45450</v>
      </c>
      <c r="E104" s="8" t="s">
        <v>328</v>
      </c>
      <c r="F104" s="11">
        <v>15</v>
      </c>
      <c r="G104" s="8" t="s">
        <v>317</v>
      </c>
      <c r="H104" s="8" t="s">
        <v>17</v>
      </c>
      <c r="I104" s="11">
        <v>30</v>
      </c>
      <c r="J104" s="8" t="s">
        <v>17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130</v>
      </c>
      <c r="C105" s="8" t="s">
        <v>24</v>
      </c>
      <c r="D105" s="10">
        <v>45451</v>
      </c>
      <c r="E105" s="8" t="s">
        <v>21</v>
      </c>
      <c r="F105" s="11">
        <v>10</v>
      </c>
      <c r="G105" s="8" t="s">
        <v>25</v>
      </c>
      <c r="H105" s="8" t="s">
        <v>21</v>
      </c>
      <c r="I105" s="11" t="s">
        <v>309</v>
      </c>
      <c r="J105" s="8" t="s">
        <v>17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131</v>
      </c>
      <c r="C106" s="8" t="s">
        <v>20</v>
      </c>
      <c r="D106" s="10">
        <v>45452</v>
      </c>
      <c r="E106" s="8" t="s">
        <v>17</v>
      </c>
      <c r="F106" s="11">
        <v>5</v>
      </c>
      <c r="G106" s="8" t="s">
        <v>18</v>
      </c>
      <c r="H106" s="8" t="s">
        <v>21</v>
      </c>
      <c r="I106" s="11" t="s">
        <v>309</v>
      </c>
      <c r="J106" s="8" t="s">
        <v>21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132</v>
      </c>
      <c r="C107" s="8" t="s">
        <v>20</v>
      </c>
      <c r="D107" s="10">
        <v>45453</v>
      </c>
      <c r="E107" s="8" t="s">
        <v>17</v>
      </c>
      <c r="F107" s="11">
        <v>5</v>
      </c>
      <c r="G107" s="8" t="s">
        <v>18</v>
      </c>
      <c r="H107" s="8" t="s">
        <v>21</v>
      </c>
      <c r="I107" s="11" t="s">
        <v>309</v>
      </c>
      <c r="J107" s="8" t="s">
        <v>21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133</v>
      </c>
      <c r="C108" s="8" t="s">
        <v>16</v>
      </c>
      <c r="D108" s="10">
        <v>45454</v>
      </c>
      <c r="E108" s="8" t="s">
        <v>327</v>
      </c>
      <c r="F108" s="11">
        <v>15</v>
      </c>
      <c r="G108" s="8" t="s">
        <v>317</v>
      </c>
      <c r="H108" s="8" t="s">
        <v>17</v>
      </c>
      <c r="I108" s="11">
        <v>30</v>
      </c>
      <c r="J108" s="8" t="s">
        <v>17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134</v>
      </c>
      <c r="C109" s="8" t="s">
        <v>24</v>
      </c>
      <c r="D109" s="10">
        <v>45455</v>
      </c>
      <c r="E109" s="8" t="s">
        <v>17</v>
      </c>
      <c r="F109" s="11">
        <v>10</v>
      </c>
      <c r="G109" s="8" t="s">
        <v>22</v>
      </c>
      <c r="H109" s="8" t="s">
        <v>21</v>
      </c>
      <c r="I109" s="11" t="s">
        <v>309</v>
      </c>
      <c r="J109" s="8" t="s">
        <v>17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135</v>
      </c>
      <c r="C110" s="8" t="s">
        <v>20</v>
      </c>
      <c r="D110" s="10">
        <v>45456</v>
      </c>
      <c r="E110" s="8" t="s">
        <v>21</v>
      </c>
      <c r="F110" s="11">
        <v>5</v>
      </c>
      <c r="G110" s="8" t="s">
        <v>25</v>
      </c>
      <c r="H110" s="8" t="s">
        <v>21</v>
      </c>
      <c r="I110" s="11" t="s">
        <v>309</v>
      </c>
      <c r="J110" s="8" t="s">
        <v>21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136</v>
      </c>
      <c r="C111" s="8" t="s">
        <v>16</v>
      </c>
      <c r="D111" s="10">
        <v>45457</v>
      </c>
      <c r="E111" s="8" t="s">
        <v>328</v>
      </c>
      <c r="F111" s="11">
        <v>15</v>
      </c>
      <c r="G111" s="8" t="s">
        <v>316</v>
      </c>
      <c r="H111" s="8" t="s">
        <v>17</v>
      </c>
      <c r="I111" s="11">
        <v>30</v>
      </c>
      <c r="J111" s="8" t="s">
        <v>17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137</v>
      </c>
      <c r="C112" s="8" t="s">
        <v>24</v>
      </c>
      <c r="D112" s="10">
        <v>45458</v>
      </c>
      <c r="E112" s="8" t="s">
        <v>21</v>
      </c>
      <c r="F112" s="11">
        <v>10</v>
      </c>
      <c r="G112" s="8" t="s">
        <v>18</v>
      </c>
      <c r="H112" s="8" t="s">
        <v>21</v>
      </c>
      <c r="I112" s="11" t="s">
        <v>309</v>
      </c>
      <c r="J112" s="8" t="s">
        <v>17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138</v>
      </c>
      <c r="C113" s="8" t="s">
        <v>20</v>
      </c>
      <c r="D113" s="10">
        <v>45459</v>
      </c>
      <c r="E113" s="8" t="s">
        <v>17</v>
      </c>
      <c r="F113" s="11">
        <v>5</v>
      </c>
      <c r="G113" s="8" t="s">
        <v>22</v>
      </c>
      <c r="H113" s="8" t="s">
        <v>21</v>
      </c>
      <c r="I113" s="11" t="s">
        <v>309</v>
      </c>
      <c r="J113" s="8" t="s">
        <v>21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139</v>
      </c>
      <c r="C114" s="8" t="s">
        <v>16</v>
      </c>
      <c r="D114" s="10">
        <v>45460</v>
      </c>
      <c r="E114" s="8" t="s">
        <v>327</v>
      </c>
      <c r="F114" s="11">
        <v>15</v>
      </c>
      <c r="G114" s="8" t="s">
        <v>317</v>
      </c>
      <c r="H114" s="8" t="s">
        <v>17</v>
      </c>
      <c r="I114" s="11">
        <v>30</v>
      </c>
      <c r="J114" s="8" t="s">
        <v>17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140</v>
      </c>
      <c r="C115" s="8" t="s">
        <v>24</v>
      </c>
      <c r="D115" s="10">
        <v>45461</v>
      </c>
      <c r="E115" s="8" t="s">
        <v>17</v>
      </c>
      <c r="F115" s="11">
        <v>10</v>
      </c>
      <c r="G115" s="8" t="s">
        <v>25</v>
      </c>
      <c r="H115" s="8" t="s">
        <v>21</v>
      </c>
      <c r="I115" s="11" t="s">
        <v>309</v>
      </c>
      <c r="J115" s="8" t="s">
        <v>17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141</v>
      </c>
      <c r="C116" s="8" t="s">
        <v>20</v>
      </c>
      <c r="D116" s="10">
        <v>45462</v>
      </c>
      <c r="E116" s="8" t="s">
        <v>21</v>
      </c>
      <c r="F116" s="11">
        <v>5</v>
      </c>
      <c r="G116" s="8" t="s">
        <v>18</v>
      </c>
      <c r="H116" s="8" t="s">
        <v>21</v>
      </c>
      <c r="I116" s="11" t="s">
        <v>309</v>
      </c>
      <c r="J116" s="8" t="s">
        <v>21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142</v>
      </c>
      <c r="C117" s="8" t="s">
        <v>16</v>
      </c>
      <c r="D117" s="10">
        <v>45463</v>
      </c>
      <c r="E117" s="8" t="s">
        <v>328</v>
      </c>
      <c r="F117" s="11">
        <v>15</v>
      </c>
      <c r="G117" s="8" t="s">
        <v>315</v>
      </c>
      <c r="H117" s="8" t="s">
        <v>17</v>
      </c>
      <c r="I117" s="11">
        <v>30</v>
      </c>
      <c r="J117" s="8" t="s">
        <v>17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143</v>
      </c>
      <c r="C118" s="8" t="s">
        <v>24</v>
      </c>
      <c r="D118" s="10">
        <v>45464</v>
      </c>
      <c r="E118" s="8" t="s">
        <v>21</v>
      </c>
      <c r="F118" s="11">
        <v>10</v>
      </c>
      <c r="G118" s="8" t="s">
        <v>18</v>
      </c>
      <c r="H118" s="8" t="s">
        <v>21</v>
      </c>
      <c r="I118" s="11" t="s">
        <v>309</v>
      </c>
      <c r="J118" s="8" t="s">
        <v>17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144</v>
      </c>
      <c r="C119" s="8" t="s">
        <v>20</v>
      </c>
      <c r="D119" s="10">
        <v>45465</v>
      </c>
      <c r="E119" s="8" t="s">
        <v>17</v>
      </c>
      <c r="F119" s="11">
        <v>5</v>
      </c>
      <c r="G119" s="8" t="s">
        <v>25</v>
      </c>
      <c r="H119" s="8" t="s">
        <v>21</v>
      </c>
      <c r="I119" s="11" t="s">
        <v>309</v>
      </c>
      <c r="J119" s="8" t="s">
        <v>21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120</v>
      </c>
      <c r="C120" s="8" t="s">
        <v>16</v>
      </c>
      <c r="D120" s="10">
        <v>45466</v>
      </c>
      <c r="E120" s="8" t="s">
        <v>327</v>
      </c>
      <c r="F120" s="11">
        <v>15</v>
      </c>
      <c r="G120" s="8" t="s">
        <v>316</v>
      </c>
      <c r="H120" s="8" t="s">
        <v>17</v>
      </c>
      <c r="I120" s="11">
        <v>30</v>
      </c>
      <c r="J120" s="8" t="s">
        <v>17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145</v>
      </c>
      <c r="C121" s="8" t="s">
        <v>24</v>
      </c>
      <c r="D121" s="10">
        <v>45467</v>
      </c>
      <c r="E121" s="8" t="s">
        <v>17</v>
      </c>
      <c r="F121" s="11">
        <v>10</v>
      </c>
      <c r="G121" s="8" t="s">
        <v>22</v>
      </c>
      <c r="H121" s="8" t="s">
        <v>21</v>
      </c>
      <c r="I121" s="11" t="s">
        <v>309</v>
      </c>
      <c r="J121" s="8" t="s">
        <v>17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146</v>
      </c>
      <c r="C122" s="8" t="s">
        <v>20</v>
      </c>
      <c r="D122" s="10">
        <v>45468</v>
      </c>
      <c r="E122" s="8" t="s">
        <v>21</v>
      </c>
      <c r="F122" s="11">
        <v>5</v>
      </c>
      <c r="G122" s="8" t="s">
        <v>18</v>
      </c>
      <c r="H122" s="8" t="s">
        <v>21</v>
      </c>
      <c r="I122" s="11" t="s">
        <v>309</v>
      </c>
      <c r="J122" s="8" t="s">
        <v>21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147</v>
      </c>
      <c r="C123" s="8" t="s">
        <v>16</v>
      </c>
      <c r="D123" s="10">
        <v>45469</v>
      </c>
      <c r="E123" s="8" t="s">
        <v>328</v>
      </c>
      <c r="F123" s="11">
        <v>15</v>
      </c>
      <c r="G123" s="8" t="s">
        <v>317</v>
      </c>
      <c r="H123" s="8" t="s">
        <v>17</v>
      </c>
      <c r="I123" s="11">
        <v>30</v>
      </c>
      <c r="J123" s="8" t="s">
        <v>17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148</v>
      </c>
      <c r="C124" s="8" t="s">
        <v>24</v>
      </c>
      <c r="D124" s="10">
        <v>45470</v>
      </c>
      <c r="E124" s="8" t="s">
        <v>21</v>
      </c>
      <c r="F124" s="11">
        <v>10</v>
      </c>
      <c r="G124" s="8" t="s">
        <v>18</v>
      </c>
      <c r="H124" s="8" t="s">
        <v>21</v>
      </c>
      <c r="I124" s="11" t="s">
        <v>309</v>
      </c>
      <c r="J124" s="8" t="s">
        <v>17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149</v>
      </c>
      <c r="C125" s="8" t="s">
        <v>20</v>
      </c>
      <c r="D125" s="10">
        <v>45471</v>
      </c>
      <c r="E125" s="8" t="s">
        <v>17</v>
      </c>
      <c r="F125" s="11">
        <v>5</v>
      </c>
      <c r="G125" s="8" t="s">
        <v>22</v>
      </c>
      <c r="H125" s="8" t="s">
        <v>21</v>
      </c>
      <c r="I125" s="11" t="s">
        <v>309</v>
      </c>
      <c r="J125" s="8" t="s">
        <v>21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150</v>
      </c>
      <c r="C126" s="8" t="s">
        <v>16</v>
      </c>
      <c r="D126" s="10">
        <v>45472</v>
      </c>
      <c r="E126" s="8" t="s">
        <v>327</v>
      </c>
      <c r="F126" s="11">
        <v>15</v>
      </c>
      <c r="G126" s="8" t="s">
        <v>316</v>
      </c>
      <c r="H126" s="8" t="s">
        <v>17</v>
      </c>
      <c r="I126" s="11">
        <v>30</v>
      </c>
      <c r="J126" s="8" t="s">
        <v>17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151</v>
      </c>
      <c r="C127" s="8" t="s">
        <v>24</v>
      </c>
      <c r="D127" s="10">
        <v>45473</v>
      </c>
      <c r="E127" s="8" t="s">
        <v>17</v>
      </c>
      <c r="F127" s="11">
        <v>10</v>
      </c>
      <c r="G127" s="8" t="s">
        <v>25</v>
      </c>
      <c r="H127" s="8" t="s">
        <v>21</v>
      </c>
      <c r="I127" s="11" t="s">
        <v>309</v>
      </c>
      <c r="J127" s="8" t="s">
        <v>17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152</v>
      </c>
      <c r="C128" s="8" t="s">
        <v>20</v>
      </c>
      <c r="D128" s="10">
        <v>45474</v>
      </c>
      <c r="E128" s="8" t="s">
        <v>21</v>
      </c>
      <c r="F128" s="11">
        <v>5</v>
      </c>
      <c r="G128" s="8" t="s">
        <v>18</v>
      </c>
      <c r="H128" s="8" t="s">
        <v>21</v>
      </c>
      <c r="I128" s="11" t="s">
        <v>309</v>
      </c>
      <c r="J128" s="8" t="s">
        <v>21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153</v>
      </c>
      <c r="C129" s="8" t="s">
        <v>16</v>
      </c>
      <c r="D129" s="10">
        <v>45475</v>
      </c>
      <c r="E129" s="8" t="s">
        <v>328</v>
      </c>
      <c r="F129" s="11">
        <v>15</v>
      </c>
      <c r="G129" s="8" t="s">
        <v>315</v>
      </c>
      <c r="H129" s="8" t="s">
        <v>17</v>
      </c>
      <c r="I129" s="11">
        <v>30</v>
      </c>
      <c r="J129" s="8" t="s">
        <v>17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154</v>
      </c>
      <c r="C130" s="8" t="s">
        <v>24</v>
      </c>
      <c r="D130" s="10">
        <v>45476</v>
      </c>
      <c r="E130" s="8" t="s">
        <v>21</v>
      </c>
      <c r="F130" s="11">
        <v>10</v>
      </c>
      <c r="G130" s="8" t="s">
        <v>18</v>
      </c>
      <c r="H130" s="8" t="s">
        <v>21</v>
      </c>
      <c r="I130" s="11" t="s">
        <v>309</v>
      </c>
      <c r="J130" s="8" t="s">
        <v>17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155</v>
      </c>
      <c r="C131" s="8" t="s">
        <v>20</v>
      </c>
      <c r="D131" s="10">
        <v>45477</v>
      </c>
      <c r="E131" s="8" t="s">
        <v>17</v>
      </c>
      <c r="F131" s="11">
        <v>5</v>
      </c>
      <c r="G131" s="8" t="s">
        <v>25</v>
      </c>
      <c r="H131" s="8" t="s">
        <v>21</v>
      </c>
      <c r="I131" s="11" t="s">
        <v>309</v>
      </c>
      <c r="J131" s="8" t="s">
        <v>21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156</v>
      </c>
      <c r="C132" s="8" t="s">
        <v>16</v>
      </c>
      <c r="D132" s="10">
        <v>45478</v>
      </c>
      <c r="E132" s="8" t="s">
        <v>327</v>
      </c>
      <c r="F132" s="11">
        <v>15</v>
      </c>
      <c r="G132" s="8" t="s">
        <v>316</v>
      </c>
      <c r="H132" s="8" t="s">
        <v>17</v>
      </c>
      <c r="I132" s="11">
        <v>30</v>
      </c>
      <c r="J132" s="8" t="s">
        <v>17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157</v>
      </c>
      <c r="C133" s="8" t="s">
        <v>24</v>
      </c>
      <c r="D133" s="10">
        <v>45479</v>
      </c>
      <c r="E133" s="8" t="s">
        <v>17</v>
      </c>
      <c r="F133" s="11">
        <v>10</v>
      </c>
      <c r="G133" s="8" t="s">
        <v>22</v>
      </c>
      <c r="H133" s="8" t="s">
        <v>21</v>
      </c>
      <c r="I133" s="11" t="s">
        <v>309</v>
      </c>
      <c r="J133" s="8" t="s">
        <v>17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158</v>
      </c>
      <c r="C134" s="8" t="s">
        <v>20</v>
      </c>
      <c r="D134" s="10">
        <v>45480</v>
      </c>
      <c r="E134" s="8" t="s">
        <v>21</v>
      </c>
      <c r="F134" s="11">
        <v>5</v>
      </c>
      <c r="G134" s="8" t="s">
        <v>18</v>
      </c>
      <c r="H134" s="8" t="s">
        <v>21</v>
      </c>
      <c r="I134" s="11" t="s">
        <v>309</v>
      </c>
      <c r="J134" s="8" t="s">
        <v>21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159</v>
      </c>
      <c r="C135" s="8" t="s">
        <v>16</v>
      </c>
      <c r="D135" s="10">
        <v>45481</v>
      </c>
      <c r="E135" s="8" t="s">
        <v>328</v>
      </c>
      <c r="F135" s="11">
        <v>15</v>
      </c>
      <c r="G135" s="8" t="s">
        <v>317</v>
      </c>
      <c r="H135" s="8" t="s">
        <v>17</v>
      </c>
      <c r="I135" s="11">
        <v>30</v>
      </c>
      <c r="J135" s="8" t="s">
        <v>17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160</v>
      </c>
      <c r="C136" s="8" t="s">
        <v>24</v>
      </c>
      <c r="D136" s="10">
        <v>45482</v>
      </c>
      <c r="E136" s="8" t="s">
        <v>21</v>
      </c>
      <c r="F136" s="11">
        <v>10</v>
      </c>
      <c r="G136" s="8" t="s">
        <v>18</v>
      </c>
      <c r="H136" s="8" t="s">
        <v>21</v>
      </c>
      <c r="I136" s="11" t="s">
        <v>309</v>
      </c>
      <c r="J136" s="8" t="s">
        <v>17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161</v>
      </c>
      <c r="C137" s="8" t="s">
        <v>20</v>
      </c>
      <c r="D137" s="10">
        <v>45483</v>
      </c>
      <c r="E137" s="8" t="s">
        <v>17</v>
      </c>
      <c r="F137" s="11">
        <v>5</v>
      </c>
      <c r="G137" s="8" t="s">
        <v>18</v>
      </c>
      <c r="H137" s="8" t="s">
        <v>21</v>
      </c>
      <c r="I137" s="11" t="s">
        <v>309</v>
      </c>
      <c r="J137" s="8" t="s">
        <v>21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162</v>
      </c>
      <c r="C138" s="8" t="s">
        <v>16</v>
      </c>
      <c r="D138" s="10">
        <v>45484</v>
      </c>
      <c r="E138" s="8" t="s">
        <v>327</v>
      </c>
      <c r="F138" s="11">
        <v>15</v>
      </c>
      <c r="G138" s="8" t="s">
        <v>317</v>
      </c>
      <c r="H138" s="8" t="s">
        <v>17</v>
      </c>
      <c r="I138" s="11">
        <v>30</v>
      </c>
      <c r="J138" s="8" t="s">
        <v>17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163</v>
      </c>
      <c r="C139" s="8" t="s">
        <v>24</v>
      </c>
      <c r="D139" s="10">
        <v>45485</v>
      </c>
      <c r="E139" s="8" t="s">
        <v>17</v>
      </c>
      <c r="F139" s="11">
        <v>10</v>
      </c>
      <c r="G139" s="8" t="s">
        <v>22</v>
      </c>
      <c r="H139" s="8" t="s">
        <v>21</v>
      </c>
      <c r="I139" s="11" t="s">
        <v>309</v>
      </c>
      <c r="J139" s="8" t="s">
        <v>17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164</v>
      </c>
      <c r="C140" s="8" t="s">
        <v>20</v>
      </c>
      <c r="D140" s="10">
        <v>45486</v>
      </c>
      <c r="E140" s="8" t="s">
        <v>21</v>
      </c>
      <c r="F140" s="11">
        <v>5</v>
      </c>
      <c r="G140" s="8" t="s">
        <v>25</v>
      </c>
      <c r="H140" s="8" t="s">
        <v>21</v>
      </c>
      <c r="I140" s="11" t="s">
        <v>309</v>
      </c>
      <c r="J140" s="8" t="s">
        <v>21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165</v>
      </c>
      <c r="C141" s="8" t="s">
        <v>16</v>
      </c>
      <c r="D141" s="10">
        <v>45487</v>
      </c>
      <c r="E141" s="8" t="s">
        <v>328</v>
      </c>
      <c r="F141" s="11">
        <v>15</v>
      </c>
      <c r="G141" s="8" t="s">
        <v>316</v>
      </c>
      <c r="H141" s="8" t="s">
        <v>17</v>
      </c>
      <c r="I141" s="11">
        <v>30</v>
      </c>
      <c r="J141" s="8" t="s">
        <v>17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166</v>
      </c>
      <c r="C142" s="8" t="s">
        <v>24</v>
      </c>
      <c r="D142" s="10">
        <v>45488</v>
      </c>
      <c r="E142" s="8" t="s">
        <v>21</v>
      </c>
      <c r="F142" s="11">
        <v>10</v>
      </c>
      <c r="G142" s="8" t="s">
        <v>18</v>
      </c>
      <c r="H142" s="8" t="s">
        <v>21</v>
      </c>
      <c r="I142" s="11" t="s">
        <v>309</v>
      </c>
      <c r="J142" s="8" t="s">
        <v>17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167</v>
      </c>
      <c r="C143" s="8" t="s">
        <v>20</v>
      </c>
      <c r="D143" s="10">
        <v>45489</v>
      </c>
      <c r="E143" s="8" t="s">
        <v>17</v>
      </c>
      <c r="F143" s="11">
        <v>5</v>
      </c>
      <c r="G143" s="8" t="s">
        <v>22</v>
      </c>
      <c r="H143" s="8" t="s">
        <v>21</v>
      </c>
      <c r="I143" s="11" t="s">
        <v>309</v>
      </c>
      <c r="J143" s="8" t="s">
        <v>21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168</v>
      </c>
      <c r="C144" s="8" t="s">
        <v>16</v>
      </c>
      <c r="D144" s="10">
        <v>45490</v>
      </c>
      <c r="E144" s="8" t="s">
        <v>327</v>
      </c>
      <c r="F144" s="11">
        <v>15</v>
      </c>
      <c r="G144" s="8" t="s">
        <v>317</v>
      </c>
      <c r="H144" s="8" t="s">
        <v>17</v>
      </c>
      <c r="I144" s="11">
        <v>30</v>
      </c>
      <c r="J144" s="8" t="s">
        <v>17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169</v>
      </c>
      <c r="C145" s="8" t="s">
        <v>24</v>
      </c>
      <c r="D145" s="10">
        <v>45491</v>
      </c>
      <c r="E145" s="8" t="s">
        <v>17</v>
      </c>
      <c r="F145" s="11">
        <v>10</v>
      </c>
      <c r="G145" s="8" t="s">
        <v>25</v>
      </c>
      <c r="H145" s="8" t="s">
        <v>21</v>
      </c>
      <c r="I145" s="11" t="s">
        <v>309</v>
      </c>
      <c r="J145" s="8" t="s">
        <v>17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170</v>
      </c>
      <c r="C146" s="8" t="s">
        <v>20</v>
      </c>
      <c r="D146" s="10">
        <v>45492</v>
      </c>
      <c r="E146" s="8" t="s">
        <v>21</v>
      </c>
      <c r="F146" s="11">
        <v>5</v>
      </c>
      <c r="G146" s="8" t="s">
        <v>18</v>
      </c>
      <c r="H146" s="8" t="s">
        <v>21</v>
      </c>
      <c r="I146" s="11" t="s">
        <v>309</v>
      </c>
      <c r="J146" s="8" t="s">
        <v>21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171</v>
      </c>
      <c r="C147" s="8" t="s">
        <v>16</v>
      </c>
      <c r="D147" s="10">
        <v>45493</v>
      </c>
      <c r="E147" s="8" t="s">
        <v>328</v>
      </c>
      <c r="F147" s="11">
        <v>15</v>
      </c>
      <c r="G147" s="8" t="s">
        <v>315</v>
      </c>
      <c r="H147" s="8" t="s">
        <v>17</v>
      </c>
      <c r="I147" s="11">
        <v>30</v>
      </c>
      <c r="J147" s="8" t="s">
        <v>17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172</v>
      </c>
      <c r="C148" s="8" t="s">
        <v>24</v>
      </c>
      <c r="D148" s="10">
        <v>45494</v>
      </c>
      <c r="E148" s="8" t="s">
        <v>21</v>
      </c>
      <c r="F148" s="11">
        <v>10</v>
      </c>
      <c r="G148" s="8" t="s">
        <v>18</v>
      </c>
      <c r="H148" s="8" t="s">
        <v>21</v>
      </c>
      <c r="I148" s="11" t="s">
        <v>309</v>
      </c>
      <c r="J148" s="8" t="s">
        <v>17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173</v>
      </c>
      <c r="C149" s="8" t="s">
        <v>20</v>
      </c>
      <c r="D149" s="10">
        <v>45495</v>
      </c>
      <c r="E149" s="8" t="s">
        <v>17</v>
      </c>
      <c r="F149" s="11">
        <v>5</v>
      </c>
      <c r="G149" s="8" t="s">
        <v>25</v>
      </c>
      <c r="H149" s="8" t="s">
        <v>21</v>
      </c>
      <c r="I149" s="11" t="s">
        <v>309</v>
      </c>
      <c r="J149" s="8" t="s">
        <v>21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174</v>
      </c>
      <c r="C150" s="8" t="s">
        <v>16</v>
      </c>
      <c r="D150" s="10">
        <v>45496</v>
      </c>
      <c r="E150" s="8" t="s">
        <v>327</v>
      </c>
      <c r="F150" s="11">
        <v>15</v>
      </c>
      <c r="G150" s="8" t="s">
        <v>316</v>
      </c>
      <c r="H150" s="8" t="s">
        <v>17</v>
      </c>
      <c r="I150" s="11">
        <v>30</v>
      </c>
      <c r="J150" s="8" t="s">
        <v>17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175</v>
      </c>
      <c r="C151" s="8" t="s">
        <v>24</v>
      </c>
      <c r="D151" s="10">
        <v>45497</v>
      </c>
      <c r="E151" s="8" t="s">
        <v>17</v>
      </c>
      <c r="F151" s="11">
        <v>10</v>
      </c>
      <c r="G151" s="8" t="s">
        <v>22</v>
      </c>
      <c r="H151" s="8" t="s">
        <v>21</v>
      </c>
      <c r="I151" s="11" t="s">
        <v>309</v>
      </c>
      <c r="J151" s="8" t="s">
        <v>17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176</v>
      </c>
      <c r="C152" s="8" t="s">
        <v>20</v>
      </c>
      <c r="D152" s="10">
        <v>45498</v>
      </c>
      <c r="E152" s="8" t="s">
        <v>21</v>
      </c>
      <c r="F152" s="11">
        <v>5</v>
      </c>
      <c r="G152" s="8" t="s">
        <v>18</v>
      </c>
      <c r="H152" s="8" t="s">
        <v>21</v>
      </c>
      <c r="I152" s="11" t="s">
        <v>309</v>
      </c>
      <c r="J152" s="8" t="s">
        <v>21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177</v>
      </c>
      <c r="C153" s="8" t="s">
        <v>16</v>
      </c>
      <c r="D153" s="10">
        <v>45499</v>
      </c>
      <c r="E153" s="8" t="s">
        <v>328</v>
      </c>
      <c r="F153" s="11">
        <v>15</v>
      </c>
      <c r="G153" s="8" t="s">
        <v>317</v>
      </c>
      <c r="H153" s="8" t="s">
        <v>17</v>
      </c>
      <c r="I153" s="11">
        <v>30</v>
      </c>
      <c r="J153" s="8" t="s">
        <v>17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178</v>
      </c>
      <c r="C154" s="8" t="s">
        <v>24</v>
      </c>
      <c r="D154" s="10">
        <v>45500</v>
      </c>
      <c r="E154" s="8" t="s">
        <v>21</v>
      </c>
      <c r="F154" s="11">
        <v>10</v>
      </c>
      <c r="G154" s="8" t="s">
        <v>18</v>
      </c>
      <c r="H154" s="8" t="s">
        <v>21</v>
      </c>
      <c r="I154" s="11" t="s">
        <v>309</v>
      </c>
      <c r="J154" s="8" t="s">
        <v>17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179</v>
      </c>
      <c r="C155" s="8" t="s">
        <v>20</v>
      </c>
      <c r="D155" s="10">
        <v>45501</v>
      </c>
      <c r="E155" s="8" t="s">
        <v>17</v>
      </c>
      <c r="F155" s="11">
        <v>5</v>
      </c>
      <c r="G155" s="8" t="s">
        <v>22</v>
      </c>
      <c r="H155" s="8" t="s">
        <v>21</v>
      </c>
      <c r="I155" s="11" t="s">
        <v>309</v>
      </c>
      <c r="J155" s="8" t="s">
        <v>21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180</v>
      </c>
      <c r="C156" s="8" t="s">
        <v>16</v>
      </c>
      <c r="D156" s="10">
        <v>45502</v>
      </c>
      <c r="E156" s="8" t="s">
        <v>327</v>
      </c>
      <c r="F156" s="11">
        <v>15</v>
      </c>
      <c r="G156" s="8" t="s">
        <v>316</v>
      </c>
      <c r="H156" s="8" t="s">
        <v>17</v>
      </c>
      <c r="I156" s="11">
        <v>30</v>
      </c>
      <c r="J156" s="8" t="s">
        <v>17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181</v>
      </c>
      <c r="C157" s="8" t="s">
        <v>24</v>
      </c>
      <c r="D157" s="10">
        <v>45503</v>
      </c>
      <c r="E157" s="8" t="s">
        <v>17</v>
      </c>
      <c r="F157" s="11">
        <v>10</v>
      </c>
      <c r="G157" s="8" t="s">
        <v>25</v>
      </c>
      <c r="H157" s="8" t="s">
        <v>21</v>
      </c>
      <c r="I157" s="11" t="s">
        <v>309</v>
      </c>
      <c r="J157" s="8" t="s">
        <v>17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182</v>
      </c>
      <c r="C158" s="8" t="s">
        <v>20</v>
      </c>
      <c r="D158" s="10">
        <v>45504</v>
      </c>
      <c r="E158" s="8" t="s">
        <v>21</v>
      </c>
      <c r="F158" s="11">
        <v>5</v>
      </c>
      <c r="G158" s="8" t="s">
        <v>18</v>
      </c>
      <c r="H158" s="8" t="s">
        <v>21</v>
      </c>
      <c r="I158" s="11" t="s">
        <v>309</v>
      </c>
      <c r="J158" s="8" t="s">
        <v>21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183</v>
      </c>
      <c r="C159" s="8" t="s">
        <v>16</v>
      </c>
      <c r="D159" s="10">
        <v>45505</v>
      </c>
      <c r="E159" s="8" t="s">
        <v>328</v>
      </c>
      <c r="F159" s="11">
        <v>15</v>
      </c>
      <c r="G159" s="8" t="s">
        <v>315</v>
      </c>
      <c r="H159" s="8" t="s">
        <v>17</v>
      </c>
      <c r="I159" s="11">
        <v>30</v>
      </c>
      <c r="J159" s="8" t="s">
        <v>17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184</v>
      </c>
      <c r="C160" s="8" t="s">
        <v>24</v>
      </c>
      <c r="D160" s="10">
        <v>45506</v>
      </c>
      <c r="E160" s="8" t="s">
        <v>21</v>
      </c>
      <c r="F160" s="11">
        <v>10</v>
      </c>
      <c r="G160" s="8" t="s">
        <v>18</v>
      </c>
      <c r="H160" s="8" t="s">
        <v>21</v>
      </c>
      <c r="I160" s="11" t="s">
        <v>309</v>
      </c>
      <c r="J160" s="8" t="s">
        <v>17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185</v>
      </c>
      <c r="C161" s="8" t="s">
        <v>20</v>
      </c>
      <c r="D161" s="10">
        <v>45507</v>
      </c>
      <c r="E161" s="8" t="s">
        <v>17</v>
      </c>
      <c r="F161" s="11">
        <v>5</v>
      </c>
      <c r="G161" s="8" t="s">
        <v>25</v>
      </c>
      <c r="H161" s="8" t="s">
        <v>21</v>
      </c>
      <c r="I161" s="11" t="s">
        <v>309</v>
      </c>
      <c r="J161" s="8" t="s">
        <v>21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85</v>
      </c>
      <c r="C162" s="8" t="s">
        <v>16</v>
      </c>
      <c r="D162" s="10">
        <v>45508</v>
      </c>
      <c r="E162" s="8" t="s">
        <v>327</v>
      </c>
      <c r="F162" s="11">
        <v>15</v>
      </c>
      <c r="G162" s="8" t="s">
        <v>316</v>
      </c>
      <c r="H162" s="8" t="s">
        <v>17</v>
      </c>
      <c r="I162" s="11">
        <v>30</v>
      </c>
      <c r="J162" s="8" t="s">
        <v>17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186</v>
      </c>
      <c r="C163" s="8" t="s">
        <v>24</v>
      </c>
      <c r="D163" s="10">
        <v>45509</v>
      </c>
      <c r="E163" s="8" t="s">
        <v>17</v>
      </c>
      <c r="F163" s="11">
        <v>10</v>
      </c>
      <c r="G163" s="8" t="s">
        <v>22</v>
      </c>
      <c r="H163" s="8" t="s">
        <v>21</v>
      </c>
      <c r="I163" s="11" t="s">
        <v>309</v>
      </c>
      <c r="J163" s="8" t="s">
        <v>17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187</v>
      </c>
      <c r="C164" s="8" t="s">
        <v>20</v>
      </c>
      <c r="D164" s="10">
        <v>45510</v>
      </c>
      <c r="E164" s="8" t="s">
        <v>21</v>
      </c>
      <c r="F164" s="11">
        <v>5</v>
      </c>
      <c r="G164" s="8" t="s">
        <v>18</v>
      </c>
      <c r="H164" s="8" t="s">
        <v>21</v>
      </c>
      <c r="I164" s="11" t="s">
        <v>309</v>
      </c>
      <c r="J164" s="8" t="s">
        <v>21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188</v>
      </c>
      <c r="C165" s="8" t="s">
        <v>16</v>
      </c>
      <c r="D165" s="10">
        <v>45511</v>
      </c>
      <c r="E165" s="8" t="s">
        <v>328</v>
      </c>
      <c r="F165" s="11">
        <v>15</v>
      </c>
      <c r="G165" s="8" t="s">
        <v>317</v>
      </c>
      <c r="H165" s="8" t="s">
        <v>17</v>
      </c>
      <c r="I165" s="11">
        <v>30</v>
      </c>
      <c r="J165" s="8" t="s">
        <v>17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189</v>
      </c>
      <c r="C166" s="8" t="s">
        <v>24</v>
      </c>
      <c r="D166" s="10">
        <v>45512</v>
      </c>
      <c r="E166" s="8" t="s">
        <v>21</v>
      </c>
      <c r="F166" s="11">
        <v>10</v>
      </c>
      <c r="G166" s="8" t="s">
        <v>18</v>
      </c>
      <c r="H166" s="8" t="s">
        <v>21</v>
      </c>
      <c r="I166" s="11" t="s">
        <v>309</v>
      </c>
      <c r="J166" s="8" t="s">
        <v>17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190</v>
      </c>
      <c r="C167" s="8" t="s">
        <v>20</v>
      </c>
      <c r="D167" s="10">
        <v>45513</v>
      </c>
      <c r="E167" s="8" t="s">
        <v>17</v>
      </c>
      <c r="F167" s="11">
        <v>5</v>
      </c>
      <c r="G167" s="8" t="s">
        <v>22</v>
      </c>
      <c r="H167" s="8" t="s">
        <v>21</v>
      </c>
      <c r="I167" s="11" t="s">
        <v>309</v>
      </c>
      <c r="J167" s="8" t="s">
        <v>21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117</v>
      </c>
      <c r="C168" s="8" t="s">
        <v>16</v>
      </c>
      <c r="D168" s="10">
        <v>45514</v>
      </c>
      <c r="E168" s="8" t="s">
        <v>327</v>
      </c>
      <c r="F168" s="11">
        <v>15</v>
      </c>
      <c r="G168" s="8" t="s">
        <v>316</v>
      </c>
      <c r="H168" s="8" t="s">
        <v>17</v>
      </c>
      <c r="I168" s="11">
        <v>30</v>
      </c>
      <c r="J168" s="8" t="s">
        <v>17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191</v>
      </c>
      <c r="C169" s="8" t="s">
        <v>24</v>
      </c>
      <c r="D169" s="10">
        <v>45515</v>
      </c>
      <c r="E169" s="8" t="s">
        <v>17</v>
      </c>
      <c r="F169" s="11">
        <v>10</v>
      </c>
      <c r="G169" s="8" t="s">
        <v>25</v>
      </c>
      <c r="H169" s="8" t="s">
        <v>21</v>
      </c>
      <c r="I169" s="11" t="s">
        <v>309</v>
      </c>
      <c r="J169" s="8" t="s">
        <v>17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192</v>
      </c>
      <c r="C170" s="8" t="s">
        <v>20</v>
      </c>
      <c r="D170" s="10">
        <v>45516</v>
      </c>
      <c r="E170" s="8" t="s">
        <v>21</v>
      </c>
      <c r="F170" s="11">
        <v>5</v>
      </c>
      <c r="G170" s="8" t="s">
        <v>18</v>
      </c>
      <c r="H170" s="8" t="s">
        <v>21</v>
      </c>
      <c r="I170" s="11" t="s">
        <v>309</v>
      </c>
      <c r="J170" s="8" t="s">
        <v>21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193</v>
      </c>
      <c r="C171" s="8" t="s">
        <v>16</v>
      </c>
      <c r="D171" s="10">
        <v>45517</v>
      </c>
      <c r="E171" s="8" t="s">
        <v>328</v>
      </c>
      <c r="F171" s="11">
        <v>15</v>
      </c>
      <c r="G171" s="8" t="s">
        <v>315</v>
      </c>
      <c r="H171" s="8" t="s">
        <v>17</v>
      </c>
      <c r="I171" s="11">
        <v>30</v>
      </c>
      <c r="J171" s="8" t="s">
        <v>17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194</v>
      </c>
      <c r="C172" s="8" t="s">
        <v>24</v>
      </c>
      <c r="D172" s="10">
        <v>45518</v>
      </c>
      <c r="E172" s="8" t="s">
        <v>21</v>
      </c>
      <c r="F172" s="11">
        <v>10</v>
      </c>
      <c r="G172" s="8" t="s">
        <v>18</v>
      </c>
      <c r="H172" s="8" t="s">
        <v>21</v>
      </c>
      <c r="I172" s="11" t="s">
        <v>309</v>
      </c>
      <c r="J172" s="8" t="s">
        <v>17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195</v>
      </c>
      <c r="C173" s="8" t="s">
        <v>20</v>
      </c>
      <c r="D173" s="10">
        <v>45519</v>
      </c>
      <c r="E173" s="8" t="s">
        <v>17</v>
      </c>
      <c r="F173" s="11">
        <v>5</v>
      </c>
      <c r="G173" s="8" t="s">
        <v>25</v>
      </c>
      <c r="H173" s="8" t="s">
        <v>21</v>
      </c>
      <c r="I173" s="11" t="s">
        <v>309</v>
      </c>
      <c r="J173" s="8" t="s">
        <v>21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196</v>
      </c>
      <c r="C174" s="8" t="s">
        <v>16</v>
      </c>
      <c r="D174" s="10">
        <v>45520</v>
      </c>
      <c r="E174" s="8" t="s">
        <v>327</v>
      </c>
      <c r="F174" s="11">
        <v>15</v>
      </c>
      <c r="G174" s="8" t="s">
        <v>316</v>
      </c>
      <c r="H174" s="8" t="s">
        <v>17</v>
      </c>
      <c r="I174" s="11">
        <v>30</v>
      </c>
      <c r="J174" s="8" t="s">
        <v>17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197</v>
      </c>
      <c r="C175" s="8" t="s">
        <v>24</v>
      </c>
      <c r="D175" s="10">
        <v>45521</v>
      </c>
      <c r="E175" s="8" t="s">
        <v>17</v>
      </c>
      <c r="F175" s="11">
        <v>10</v>
      </c>
      <c r="G175" s="8" t="s">
        <v>22</v>
      </c>
      <c r="H175" s="8" t="s">
        <v>21</v>
      </c>
      <c r="I175" s="11" t="s">
        <v>309</v>
      </c>
      <c r="J175" s="8" t="s">
        <v>17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198</v>
      </c>
      <c r="C176" s="8" t="s">
        <v>20</v>
      </c>
      <c r="D176" s="10">
        <v>45522</v>
      </c>
      <c r="E176" s="8" t="s">
        <v>21</v>
      </c>
      <c r="F176" s="11">
        <v>5</v>
      </c>
      <c r="G176" s="8" t="s">
        <v>18</v>
      </c>
      <c r="H176" s="8" t="s">
        <v>21</v>
      </c>
      <c r="I176" s="11" t="s">
        <v>309</v>
      </c>
      <c r="J176" s="8" t="s">
        <v>21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199</v>
      </c>
      <c r="C177" s="8" t="s">
        <v>20</v>
      </c>
      <c r="D177" s="10">
        <v>45523</v>
      </c>
      <c r="E177" s="8" t="s">
        <v>17</v>
      </c>
      <c r="F177" s="11">
        <v>5</v>
      </c>
      <c r="G177" s="8" t="s">
        <v>18</v>
      </c>
      <c r="H177" s="8" t="s">
        <v>21</v>
      </c>
      <c r="I177" s="11" t="s">
        <v>309</v>
      </c>
      <c r="J177" s="8" t="s">
        <v>21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200</v>
      </c>
      <c r="C178" s="8" t="s">
        <v>16</v>
      </c>
      <c r="D178" s="10">
        <v>45524</v>
      </c>
      <c r="E178" s="8" t="s">
        <v>327</v>
      </c>
      <c r="F178" s="11">
        <v>15</v>
      </c>
      <c r="G178" s="8" t="s">
        <v>317</v>
      </c>
      <c r="H178" s="8" t="s">
        <v>17</v>
      </c>
      <c r="I178" s="11">
        <v>30</v>
      </c>
      <c r="J178" s="8" t="s">
        <v>17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201</v>
      </c>
      <c r="C179" s="8" t="s">
        <v>24</v>
      </c>
      <c r="D179" s="10">
        <v>45525</v>
      </c>
      <c r="E179" s="8" t="s">
        <v>17</v>
      </c>
      <c r="F179" s="11">
        <v>10</v>
      </c>
      <c r="G179" s="8" t="s">
        <v>22</v>
      </c>
      <c r="H179" s="8" t="s">
        <v>21</v>
      </c>
      <c r="I179" s="11" t="s">
        <v>309</v>
      </c>
      <c r="J179" s="8" t="s">
        <v>17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202</v>
      </c>
      <c r="C180" s="8" t="s">
        <v>20</v>
      </c>
      <c r="D180" s="10">
        <v>45526</v>
      </c>
      <c r="E180" s="8" t="s">
        <v>21</v>
      </c>
      <c r="F180" s="11">
        <v>5</v>
      </c>
      <c r="G180" s="8" t="s">
        <v>25</v>
      </c>
      <c r="H180" s="8" t="s">
        <v>21</v>
      </c>
      <c r="I180" s="11" t="s">
        <v>309</v>
      </c>
      <c r="J180" s="8" t="s">
        <v>21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203</v>
      </c>
      <c r="C181" s="8" t="s">
        <v>16</v>
      </c>
      <c r="D181" s="10">
        <v>45527</v>
      </c>
      <c r="E181" s="8" t="s">
        <v>328</v>
      </c>
      <c r="F181" s="11">
        <v>15</v>
      </c>
      <c r="G181" s="8" t="s">
        <v>316</v>
      </c>
      <c r="H181" s="8" t="s">
        <v>17</v>
      </c>
      <c r="I181" s="11">
        <v>30</v>
      </c>
      <c r="J181" s="8" t="s">
        <v>17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204</v>
      </c>
      <c r="C182" s="8" t="s">
        <v>24</v>
      </c>
      <c r="D182" s="10">
        <v>45528</v>
      </c>
      <c r="E182" s="8" t="s">
        <v>21</v>
      </c>
      <c r="F182" s="11">
        <v>10</v>
      </c>
      <c r="G182" s="8" t="s">
        <v>18</v>
      </c>
      <c r="H182" s="8" t="s">
        <v>21</v>
      </c>
      <c r="I182" s="11" t="s">
        <v>309</v>
      </c>
      <c r="J182" s="8" t="s">
        <v>17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205</v>
      </c>
      <c r="C183" s="8" t="s">
        <v>20</v>
      </c>
      <c r="D183" s="10">
        <v>45529</v>
      </c>
      <c r="E183" s="8" t="s">
        <v>17</v>
      </c>
      <c r="F183" s="11">
        <v>5</v>
      </c>
      <c r="G183" s="8" t="s">
        <v>22</v>
      </c>
      <c r="H183" s="8" t="s">
        <v>21</v>
      </c>
      <c r="I183" s="11" t="s">
        <v>309</v>
      </c>
      <c r="J183" s="8" t="s">
        <v>21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206</v>
      </c>
      <c r="C184" s="8" t="s">
        <v>16</v>
      </c>
      <c r="D184" s="10">
        <v>45530</v>
      </c>
      <c r="E184" s="8" t="s">
        <v>327</v>
      </c>
      <c r="F184" s="11">
        <v>15</v>
      </c>
      <c r="G184" s="8" t="s">
        <v>317</v>
      </c>
      <c r="H184" s="8" t="s">
        <v>17</v>
      </c>
      <c r="I184" s="11">
        <v>30</v>
      </c>
      <c r="J184" s="8" t="s">
        <v>17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207</v>
      </c>
      <c r="C185" s="8" t="s">
        <v>24</v>
      </c>
      <c r="D185" s="10">
        <v>45531</v>
      </c>
      <c r="E185" s="8" t="s">
        <v>17</v>
      </c>
      <c r="F185" s="11">
        <v>10</v>
      </c>
      <c r="G185" s="8" t="s">
        <v>25</v>
      </c>
      <c r="H185" s="8" t="s">
        <v>21</v>
      </c>
      <c r="I185" s="11" t="s">
        <v>309</v>
      </c>
      <c r="J185" s="8" t="s">
        <v>17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208</v>
      </c>
      <c r="C186" s="8" t="s">
        <v>20</v>
      </c>
      <c r="D186" s="10">
        <v>45532</v>
      </c>
      <c r="E186" s="8" t="s">
        <v>21</v>
      </c>
      <c r="F186" s="11">
        <v>5</v>
      </c>
      <c r="G186" s="8" t="s">
        <v>18</v>
      </c>
      <c r="H186" s="8" t="s">
        <v>21</v>
      </c>
      <c r="I186" s="11" t="s">
        <v>309</v>
      </c>
      <c r="J186" s="8" t="s">
        <v>21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209</v>
      </c>
      <c r="C187" s="8" t="s">
        <v>16</v>
      </c>
      <c r="D187" s="10">
        <v>45533</v>
      </c>
      <c r="E187" s="8" t="s">
        <v>328</v>
      </c>
      <c r="F187" s="11">
        <v>15</v>
      </c>
      <c r="G187" s="8" t="s">
        <v>315</v>
      </c>
      <c r="H187" s="8" t="s">
        <v>17</v>
      </c>
      <c r="I187" s="11">
        <v>30</v>
      </c>
      <c r="J187" s="8" t="s">
        <v>17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210</v>
      </c>
      <c r="C188" s="8" t="s">
        <v>24</v>
      </c>
      <c r="D188" s="10">
        <v>45534</v>
      </c>
      <c r="E188" s="8" t="s">
        <v>21</v>
      </c>
      <c r="F188" s="11">
        <v>10</v>
      </c>
      <c r="G188" s="8" t="s">
        <v>18</v>
      </c>
      <c r="H188" s="8" t="s">
        <v>21</v>
      </c>
      <c r="I188" s="11" t="s">
        <v>309</v>
      </c>
      <c r="J188" s="8" t="s">
        <v>17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211</v>
      </c>
      <c r="C189" s="8" t="s">
        <v>20</v>
      </c>
      <c r="D189" s="10">
        <v>45535</v>
      </c>
      <c r="E189" s="8" t="s">
        <v>17</v>
      </c>
      <c r="F189" s="11">
        <v>5</v>
      </c>
      <c r="G189" s="8" t="s">
        <v>25</v>
      </c>
      <c r="H189" s="8" t="s">
        <v>21</v>
      </c>
      <c r="I189" s="11" t="s">
        <v>309</v>
      </c>
      <c r="J189" s="8" t="s">
        <v>21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212</v>
      </c>
      <c r="C190" s="8" t="s">
        <v>16</v>
      </c>
      <c r="D190" s="10">
        <v>45536</v>
      </c>
      <c r="E190" s="8" t="s">
        <v>327</v>
      </c>
      <c r="F190" s="11">
        <v>15</v>
      </c>
      <c r="G190" s="8" t="s">
        <v>316</v>
      </c>
      <c r="H190" s="8" t="s">
        <v>17</v>
      </c>
      <c r="I190" s="11">
        <v>30</v>
      </c>
      <c r="J190" s="8" t="s">
        <v>17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213</v>
      </c>
      <c r="C191" s="8" t="s">
        <v>24</v>
      </c>
      <c r="D191" s="10">
        <v>45537</v>
      </c>
      <c r="E191" s="8" t="s">
        <v>17</v>
      </c>
      <c r="F191" s="11">
        <v>10</v>
      </c>
      <c r="G191" s="8" t="s">
        <v>22</v>
      </c>
      <c r="H191" s="8" t="s">
        <v>21</v>
      </c>
      <c r="I191" s="11" t="s">
        <v>309</v>
      </c>
      <c r="J191" s="8" t="s">
        <v>17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42</v>
      </c>
      <c r="C192" s="8" t="s">
        <v>20</v>
      </c>
      <c r="D192" s="10">
        <v>45538</v>
      </c>
      <c r="E192" s="8" t="s">
        <v>21</v>
      </c>
      <c r="F192" s="11">
        <v>5</v>
      </c>
      <c r="G192" s="8" t="s">
        <v>18</v>
      </c>
      <c r="H192" s="8" t="s">
        <v>21</v>
      </c>
      <c r="I192" s="11" t="s">
        <v>309</v>
      </c>
      <c r="J192" s="8" t="s">
        <v>21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214</v>
      </c>
      <c r="C193" s="8" t="s">
        <v>16</v>
      </c>
      <c r="D193" s="10">
        <v>45539</v>
      </c>
      <c r="E193" s="8" t="s">
        <v>328</v>
      </c>
      <c r="F193" s="11">
        <v>15</v>
      </c>
      <c r="G193" s="8" t="s">
        <v>317</v>
      </c>
      <c r="H193" s="8" t="s">
        <v>17</v>
      </c>
      <c r="I193" s="11">
        <v>30</v>
      </c>
      <c r="J193" s="8" t="s">
        <v>17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215</v>
      </c>
      <c r="C194" s="8" t="s">
        <v>24</v>
      </c>
      <c r="D194" s="10">
        <v>45540</v>
      </c>
      <c r="E194" s="8" t="s">
        <v>21</v>
      </c>
      <c r="F194" s="11">
        <v>10</v>
      </c>
      <c r="G194" s="8" t="s">
        <v>18</v>
      </c>
      <c r="H194" s="8" t="s">
        <v>21</v>
      </c>
      <c r="I194" s="11" t="s">
        <v>309</v>
      </c>
      <c r="J194" s="8" t="s">
        <v>17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41</v>
      </c>
      <c r="C195" s="8" t="s">
        <v>20</v>
      </c>
      <c r="D195" s="10">
        <v>45541</v>
      </c>
      <c r="E195" s="8" t="s">
        <v>17</v>
      </c>
      <c r="F195" s="11">
        <v>5</v>
      </c>
      <c r="G195" s="8" t="s">
        <v>22</v>
      </c>
      <c r="H195" s="8" t="s">
        <v>21</v>
      </c>
      <c r="I195" s="11" t="s">
        <v>309</v>
      </c>
      <c r="J195" s="8" t="s">
        <v>21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216</v>
      </c>
      <c r="C196" s="8" t="s">
        <v>16</v>
      </c>
      <c r="D196" s="10">
        <v>45542</v>
      </c>
      <c r="E196" s="8" t="s">
        <v>327</v>
      </c>
      <c r="F196" s="11">
        <v>15</v>
      </c>
      <c r="G196" s="8" t="s">
        <v>316</v>
      </c>
      <c r="H196" s="8" t="s">
        <v>17</v>
      </c>
      <c r="I196" s="11">
        <v>30</v>
      </c>
      <c r="J196" s="8" t="s">
        <v>17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194</v>
      </c>
      <c r="C197" s="8" t="s">
        <v>24</v>
      </c>
      <c r="D197" s="10">
        <v>45543</v>
      </c>
      <c r="E197" s="8" t="s">
        <v>17</v>
      </c>
      <c r="F197" s="11">
        <v>10</v>
      </c>
      <c r="G197" s="8" t="s">
        <v>25</v>
      </c>
      <c r="H197" s="8" t="s">
        <v>21</v>
      </c>
      <c r="I197" s="11" t="s">
        <v>309</v>
      </c>
      <c r="J197" s="8" t="s">
        <v>17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217</v>
      </c>
      <c r="C198" s="8" t="s">
        <v>20</v>
      </c>
      <c r="D198" s="10">
        <v>45544</v>
      </c>
      <c r="E198" s="8" t="s">
        <v>21</v>
      </c>
      <c r="F198" s="11">
        <v>5</v>
      </c>
      <c r="G198" s="8" t="s">
        <v>18</v>
      </c>
      <c r="H198" s="8" t="s">
        <v>21</v>
      </c>
      <c r="I198" s="11" t="s">
        <v>309</v>
      </c>
      <c r="J198" s="8" t="s">
        <v>21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218</v>
      </c>
      <c r="C199" s="8" t="s">
        <v>16</v>
      </c>
      <c r="D199" s="10">
        <v>45545</v>
      </c>
      <c r="E199" s="8" t="s">
        <v>328</v>
      </c>
      <c r="F199" s="11">
        <v>15</v>
      </c>
      <c r="G199" s="8" t="s">
        <v>315</v>
      </c>
      <c r="H199" s="8" t="s">
        <v>17</v>
      </c>
      <c r="I199" s="11">
        <v>30</v>
      </c>
      <c r="J199" s="8" t="s">
        <v>17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219</v>
      </c>
      <c r="C200" s="8" t="s">
        <v>24</v>
      </c>
      <c r="D200" s="10">
        <v>45546</v>
      </c>
      <c r="E200" s="8" t="s">
        <v>21</v>
      </c>
      <c r="F200" s="11">
        <v>10</v>
      </c>
      <c r="G200" s="8" t="s">
        <v>18</v>
      </c>
      <c r="H200" s="8" t="s">
        <v>21</v>
      </c>
      <c r="I200" s="11" t="s">
        <v>309</v>
      </c>
      <c r="J200" s="8" t="s">
        <v>17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220</v>
      </c>
      <c r="C201" s="8" t="s">
        <v>20</v>
      </c>
      <c r="D201" s="10">
        <v>45547</v>
      </c>
      <c r="E201" s="8" t="s">
        <v>17</v>
      </c>
      <c r="F201" s="11">
        <v>5</v>
      </c>
      <c r="G201" s="8" t="s">
        <v>25</v>
      </c>
      <c r="H201" s="8" t="s">
        <v>21</v>
      </c>
      <c r="I201" s="11" t="s">
        <v>309</v>
      </c>
      <c r="J201" s="8" t="s">
        <v>21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221</v>
      </c>
      <c r="C202" s="8" t="s">
        <v>16</v>
      </c>
      <c r="D202" s="10">
        <v>45548</v>
      </c>
      <c r="E202" s="8" t="s">
        <v>327</v>
      </c>
      <c r="F202" s="11">
        <v>15</v>
      </c>
      <c r="G202" s="8" t="s">
        <v>316</v>
      </c>
      <c r="H202" s="8" t="s">
        <v>17</v>
      </c>
      <c r="I202" s="11">
        <v>30</v>
      </c>
      <c r="J202" s="8" t="s">
        <v>17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222</v>
      </c>
      <c r="C203" s="8" t="s">
        <v>24</v>
      </c>
      <c r="D203" s="10">
        <v>45549</v>
      </c>
      <c r="E203" s="8" t="s">
        <v>17</v>
      </c>
      <c r="F203" s="11">
        <v>10</v>
      </c>
      <c r="G203" s="8" t="s">
        <v>22</v>
      </c>
      <c r="H203" s="8" t="s">
        <v>21</v>
      </c>
      <c r="I203" s="11" t="s">
        <v>309</v>
      </c>
      <c r="J203" s="8" t="s">
        <v>17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223</v>
      </c>
      <c r="C204" s="8" t="s">
        <v>20</v>
      </c>
      <c r="D204" s="10">
        <v>45550</v>
      </c>
      <c r="E204" s="8" t="s">
        <v>21</v>
      </c>
      <c r="F204" s="11">
        <v>5</v>
      </c>
      <c r="G204" s="8" t="s">
        <v>18</v>
      </c>
      <c r="H204" s="8" t="s">
        <v>21</v>
      </c>
      <c r="I204" s="11" t="s">
        <v>309</v>
      </c>
      <c r="J204" s="8" t="s">
        <v>21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224</v>
      </c>
      <c r="C205" s="8" t="s">
        <v>16</v>
      </c>
      <c r="D205" s="10">
        <v>45551</v>
      </c>
      <c r="E205" s="8" t="s">
        <v>328</v>
      </c>
      <c r="F205" s="11">
        <v>15</v>
      </c>
      <c r="G205" s="8" t="s">
        <v>317</v>
      </c>
      <c r="H205" s="8" t="s">
        <v>17</v>
      </c>
      <c r="I205" s="11">
        <v>30</v>
      </c>
      <c r="J205" s="8" t="s">
        <v>17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225</v>
      </c>
      <c r="C206" s="8" t="s">
        <v>24</v>
      </c>
      <c r="D206" s="10">
        <v>45552</v>
      </c>
      <c r="E206" s="8" t="s">
        <v>21</v>
      </c>
      <c r="F206" s="11">
        <v>10</v>
      </c>
      <c r="G206" s="8" t="s">
        <v>18</v>
      </c>
      <c r="H206" s="8" t="s">
        <v>21</v>
      </c>
      <c r="I206" s="11" t="s">
        <v>309</v>
      </c>
      <c r="J206" s="8" t="s">
        <v>17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226</v>
      </c>
      <c r="C207" s="8" t="s">
        <v>20</v>
      </c>
      <c r="D207" s="10">
        <v>45553</v>
      </c>
      <c r="E207" s="8" t="s">
        <v>17</v>
      </c>
      <c r="F207" s="11">
        <v>5</v>
      </c>
      <c r="G207" s="8" t="s">
        <v>18</v>
      </c>
      <c r="H207" s="8" t="s">
        <v>21</v>
      </c>
      <c r="I207" s="11" t="s">
        <v>309</v>
      </c>
      <c r="J207" s="8" t="s">
        <v>21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227</v>
      </c>
      <c r="C208" s="8" t="s">
        <v>16</v>
      </c>
      <c r="D208" s="10">
        <v>45554</v>
      </c>
      <c r="E208" s="8" t="s">
        <v>327</v>
      </c>
      <c r="F208" s="11">
        <v>15</v>
      </c>
      <c r="G208" s="8" t="s">
        <v>317</v>
      </c>
      <c r="H208" s="8" t="s">
        <v>17</v>
      </c>
      <c r="I208" s="11">
        <v>30</v>
      </c>
      <c r="J208" s="8" t="s">
        <v>17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228</v>
      </c>
      <c r="C209" s="8" t="s">
        <v>24</v>
      </c>
      <c r="D209" s="10">
        <v>45555</v>
      </c>
      <c r="E209" s="8" t="s">
        <v>17</v>
      </c>
      <c r="F209" s="11">
        <v>10</v>
      </c>
      <c r="G209" s="8" t="s">
        <v>22</v>
      </c>
      <c r="H209" s="8" t="s">
        <v>21</v>
      </c>
      <c r="I209" s="11" t="s">
        <v>309</v>
      </c>
      <c r="J209" s="8" t="s">
        <v>17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229</v>
      </c>
      <c r="C210" s="8" t="s">
        <v>20</v>
      </c>
      <c r="D210" s="10">
        <v>45556</v>
      </c>
      <c r="E210" s="8" t="s">
        <v>21</v>
      </c>
      <c r="F210" s="11">
        <v>5</v>
      </c>
      <c r="G210" s="8" t="s">
        <v>25</v>
      </c>
      <c r="H210" s="8" t="s">
        <v>21</v>
      </c>
      <c r="I210" s="11" t="s">
        <v>309</v>
      </c>
      <c r="J210" s="8" t="s">
        <v>21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230</v>
      </c>
      <c r="C211" s="8" t="s">
        <v>16</v>
      </c>
      <c r="D211" s="10">
        <v>45557</v>
      </c>
      <c r="E211" s="8" t="s">
        <v>328</v>
      </c>
      <c r="F211" s="11">
        <v>15</v>
      </c>
      <c r="G211" s="8" t="s">
        <v>316</v>
      </c>
      <c r="H211" s="8" t="s">
        <v>17</v>
      </c>
      <c r="I211" s="11">
        <v>30</v>
      </c>
      <c r="J211" s="8" t="s">
        <v>17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231</v>
      </c>
      <c r="C212" s="8" t="s">
        <v>24</v>
      </c>
      <c r="D212" s="10">
        <v>45558</v>
      </c>
      <c r="E212" s="8" t="s">
        <v>21</v>
      </c>
      <c r="F212" s="11">
        <v>10</v>
      </c>
      <c r="G212" s="8" t="s">
        <v>18</v>
      </c>
      <c r="H212" s="8" t="s">
        <v>21</v>
      </c>
      <c r="I212" s="11" t="s">
        <v>309</v>
      </c>
      <c r="J212" s="8" t="s">
        <v>17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232</v>
      </c>
      <c r="C213" s="8" t="s">
        <v>20</v>
      </c>
      <c r="D213" s="10">
        <v>45559</v>
      </c>
      <c r="E213" s="8" t="s">
        <v>17</v>
      </c>
      <c r="F213" s="11">
        <v>5</v>
      </c>
      <c r="G213" s="8" t="s">
        <v>22</v>
      </c>
      <c r="H213" s="8" t="s">
        <v>21</v>
      </c>
      <c r="I213" s="11" t="s">
        <v>309</v>
      </c>
      <c r="J213" s="8" t="s">
        <v>21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233</v>
      </c>
      <c r="C214" s="8" t="s">
        <v>16</v>
      </c>
      <c r="D214" s="10">
        <v>45560</v>
      </c>
      <c r="E214" s="8" t="s">
        <v>327</v>
      </c>
      <c r="F214" s="11">
        <v>15</v>
      </c>
      <c r="G214" s="8" t="s">
        <v>317</v>
      </c>
      <c r="H214" s="8" t="s">
        <v>17</v>
      </c>
      <c r="I214" s="11">
        <v>30</v>
      </c>
      <c r="J214" s="8" t="s">
        <v>17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234</v>
      </c>
      <c r="C215" s="8" t="s">
        <v>24</v>
      </c>
      <c r="D215" s="10">
        <v>45561</v>
      </c>
      <c r="E215" s="8" t="s">
        <v>17</v>
      </c>
      <c r="F215" s="11">
        <v>10</v>
      </c>
      <c r="G215" s="8" t="s">
        <v>25</v>
      </c>
      <c r="H215" s="8" t="s">
        <v>21</v>
      </c>
      <c r="I215" s="11" t="s">
        <v>309</v>
      </c>
      <c r="J215" s="8" t="s">
        <v>17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64</v>
      </c>
      <c r="C216" s="8" t="s">
        <v>20</v>
      </c>
      <c r="D216" s="10">
        <v>45562</v>
      </c>
      <c r="E216" s="8" t="s">
        <v>21</v>
      </c>
      <c r="F216" s="11">
        <v>5</v>
      </c>
      <c r="G216" s="8" t="s">
        <v>18</v>
      </c>
      <c r="H216" s="8" t="s">
        <v>21</v>
      </c>
      <c r="I216" s="11" t="s">
        <v>309</v>
      </c>
      <c r="J216" s="8" t="s">
        <v>21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235</v>
      </c>
      <c r="C217" s="8" t="s">
        <v>16</v>
      </c>
      <c r="D217" s="10">
        <v>45563</v>
      </c>
      <c r="E217" s="8" t="s">
        <v>328</v>
      </c>
      <c r="F217" s="11">
        <v>15</v>
      </c>
      <c r="G217" s="8" t="s">
        <v>315</v>
      </c>
      <c r="H217" s="8" t="s">
        <v>17</v>
      </c>
      <c r="I217" s="11">
        <v>30</v>
      </c>
      <c r="J217" s="8" t="s">
        <v>17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236</v>
      </c>
      <c r="C218" s="8" t="s">
        <v>24</v>
      </c>
      <c r="D218" s="10">
        <v>45564</v>
      </c>
      <c r="E218" s="8" t="s">
        <v>21</v>
      </c>
      <c r="F218" s="11">
        <v>10</v>
      </c>
      <c r="G218" s="8" t="s">
        <v>18</v>
      </c>
      <c r="H218" s="8" t="s">
        <v>21</v>
      </c>
      <c r="I218" s="11" t="s">
        <v>309</v>
      </c>
      <c r="J218" s="8" t="s">
        <v>17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237</v>
      </c>
      <c r="C219" s="8" t="s">
        <v>20</v>
      </c>
      <c r="D219" s="10">
        <v>45565</v>
      </c>
      <c r="E219" s="8" t="s">
        <v>17</v>
      </c>
      <c r="F219" s="11">
        <v>5</v>
      </c>
      <c r="G219" s="8" t="s">
        <v>25</v>
      </c>
      <c r="H219" s="8" t="s">
        <v>21</v>
      </c>
      <c r="I219" s="11" t="s">
        <v>309</v>
      </c>
      <c r="J219" s="8" t="s">
        <v>21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238</v>
      </c>
      <c r="C220" s="8" t="s">
        <v>16</v>
      </c>
      <c r="D220" s="10">
        <v>45566</v>
      </c>
      <c r="E220" s="8" t="s">
        <v>327</v>
      </c>
      <c r="F220" s="11">
        <v>15</v>
      </c>
      <c r="G220" s="8" t="s">
        <v>316</v>
      </c>
      <c r="H220" s="8" t="s">
        <v>17</v>
      </c>
      <c r="I220" s="11">
        <v>30</v>
      </c>
      <c r="J220" s="8" t="s">
        <v>17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239</v>
      </c>
      <c r="C221" s="8" t="s">
        <v>24</v>
      </c>
      <c r="D221" s="10">
        <v>45567</v>
      </c>
      <c r="E221" s="8" t="s">
        <v>17</v>
      </c>
      <c r="F221" s="11">
        <v>10</v>
      </c>
      <c r="G221" s="8" t="s">
        <v>22</v>
      </c>
      <c r="H221" s="8" t="s">
        <v>21</v>
      </c>
      <c r="I221" s="11" t="s">
        <v>309</v>
      </c>
      <c r="J221" s="8" t="s">
        <v>17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240</v>
      </c>
      <c r="C222" s="8" t="s">
        <v>20</v>
      </c>
      <c r="D222" s="10">
        <v>45568</v>
      </c>
      <c r="E222" s="8" t="s">
        <v>21</v>
      </c>
      <c r="F222" s="11">
        <v>5</v>
      </c>
      <c r="G222" s="8" t="s">
        <v>18</v>
      </c>
      <c r="H222" s="8" t="s">
        <v>21</v>
      </c>
      <c r="I222" s="11" t="s">
        <v>309</v>
      </c>
      <c r="J222" s="8" t="s">
        <v>21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218</v>
      </c>
      <c r="C223" s="8" t="s">
        <v>16</v>
      </c>
      <c r="D223" s="10">
        <v>45569</v>
      </c>
      <c r="E223" s="8" t="s">
        <v>328</v>
      </c>
      <c r="F223" s="11">
        <v>15</v>
      </c>
      <c r="G223" s="8" t="s">
        <v>317</v>
      </c>
      <c r="H223" s="8" t="s">
        <v>17</v>
      </c>
      <c r="I223" s="11">
        <v>30</v>
      </c>
      <c r="J223" s="8" t="s">
        <v>17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72</v>
      </c>
      <c r="C224" s="8" t="s">
        <v>24</v>
      </c>
      <c r="D224" s="10">
        <v>45570</v>
      </c>
      <c r="E224" s="8" t="s">
        <v>21</v>
      </c>
      <c r="F224" s="11">
        <v>10</v>
      </c>
      <c r="G224" s="8" t="s">
        <v>18</v>
      </c>
      <c r="H224" s="8" t="s">
        <v>21</v>
      </c>
      <c r="I224" s="11" t="s">
        <v>309</v>
      </c>
      <c r="J224" s="8" t="s">
        <v>17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241</v>
      </c>
      <c r="C225" s="8" t="s">
        <v>20</v>
      </c>
      <c r="D225" s="10">
        <v>45571</v>
      </c>
      <c r="E225" s="8" t="s">
        <v>17</v>
      </c>
      <c r="F225" s="11">
        <v>5</v>
      </c>
      <c r="G225" s="8" t="s">
        <v>22</v>
      </c>
      <c r="H225" s="8" t="s">
        <v>21</v>
      </c>
      <c r="I225" s="11" t="s">
        <v>309</v>
      </c>
      <c r="J225" s="8" t="s">
        <v>21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242</v>
      </c>
      <c r="C226" s="8" t="s">
        <v>16</v>
      </c>
      <c r="D226" s="10">
        <v>45572</v>
      </c>
      <c r="E226" s="8" t="s">
        <v>327</v>
      </c>
      <c r="F226" s="11">
        <v>15</v>
      </c>
      <c r="G226" s="8" t="s">
        <v>316</v>
      </c>
      <c r="H226" s="8" t="s">
        <v>17</v>
      </c>
      <c r="I226" s="11">
        <v>30</v>
      </c>
      <c r="J226" s="8" t="s">
        <v>17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243</v>
      </c>
      <c r="C227" s="8" t="s">
        <v>24</v>
      </c>
      <c r="D227" s="10">
        <v>45573</v>
      </c>
      <c r="E227" s="8" t="s">
        <v>17</v>
      </c>
      <c r="F227" s="11">
        <v>10</v>
      </c>
      <c r="G227" s="8" t="s">
        <v>25</v>
      </c>
      <c r="H227" s="8" t="s">
        <v>21</v>
      </c>
      <c r="I227" s="11" t="s">
        <v>309</v>
      </c>
      <c r="J227" s="8" t="s">
        <v>17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244</v>
      </c>
      <c r="C228" s="8" t="s">
        <v>20</v>
      </c>
      <c r="D228" s="10">
        <v>45574</v>
      </c>
      <c r="E228" s="8" t="s">
        <v>21</v>
      </c>
      <c r="F228" s="11">
        <v>5</v>
      </c>
      <c r="G228" s="8" t="s">
        <v>18</v>
      </c>
      <c r="H228" s="8" t="s">
        <v>21</v>
      </c>
      <c r="I228" s="11" t="s">
        <v>309</v>
      </c>
      <c r="J228" s="8" t="s">
        <v>21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245</v>
      </c>
      <c r="C229" s="8" t="s">
        <v>16</v>
      </c>
      <c r="D229" s="10">
        <v>45575</v>
      </c>
      <c r="E229" s="8" t="s">
        <v>328</v>
      </c>
      <c r="F229" s="11">
        <v>15</v>
      </c>
      <c r="G229" s="8" t="s">
        <v>315</v>
      </c>
      <c r="H229" s="8" t="s">
        <v>17</v>
      </c>
      <c r="I229" s="11">
        <v>30</v>
      </c>
      <c r="J229" s="8" t="s">
        <v>17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246</v>
      </c>
      <c r="C230" s="8" t="s">
        <v>24</v>
      </c>
      <c r="D230" s="10">
        <v>45576</v>
      </c>
      <c r="E230" s="8" t="s">
        <v>21</v>
      </c>
      <c r="F230" s="11">
        <v>10</v>
      </c>
      <c r="G230" s="8" t="s">
        <v>18</v>
      </c>
      <c r="H230" s="8" t="s">
        <v>21</v>
      </c>
      <c r="I230" s="11" t="s">
        <v>309</v>
      </c>
      <c r="J230" s="8" t="s">
        <v>17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154</v>
      </c>
      <c r="C231" s="8" t="s">
        <v>20</v>
      </c>
      <c r="D231" s="10">
        <v>45577</v>
      </c>
      <c r="E231" s="8" t="s">
        <v>17</v>
      </c>
      <c r="F231" s="11">
        <v>5</v>
      </c>
      <c r="G231" s="8" t="s">
        <v>25</v>
      </c>
      <c r="H231" s="8" t="s">
        <v>21</v>
      </c>
      <c r="I231" s="11" t="s">
        <v>309</v>
      </c>
      <c r="J231" s="8" t="s">
        <v>21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247</v>
      </c>
      <c r="C232" s="8" t="s">
        <v>16</v>
      </c>
      <c r="D232" s="10">
        <v>45578</v>
      </c>
      <c r="E232" s="8" t="s">
        <v>327</v>
      </c>
      <c r="F232" s="11">
        <v>15</v>
      </c>
      <c r="G232" s="8" t="s">
        <v>316</v>
      </c>
      <c r="H232" s="8" t="s">
        <v>17</v>
      </c>
      <c r="I232" s="11">
        <v>30</v>
      </c>
      <c r="J232" s="8" t="s">
        <v>17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248</v>
      </c>
      <c r="C233" s="8" t="s">
        <v>24</v>
      </c>
      <c r="D233" s="10">
        <v>45579</v>
      </c>
      <c r="E233" s="8" t="s">
        <v>17</v>
      </c>
      <c r="F233" s="11">
        <v>10</v>
      </c>
      <c r="G233" s="8" t="s">
        <v>22</v>
      </c>
      <c r="H233" s="8" t="s">
        <v>21</v>
      </c>
      <c r="I233" s="11" t="s">
        <v>309</v>
      </c>
      <c r="J233" s="8" t="s">
        <v>17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249</v>
      </c>
      <c r="C234" s="8" t="s">
        <v>20</v>
      </c>
      <c r="D234" s="10">
        <v>45580</v>
      </c>
      <c r="E234" s="8" t="s">
        <v>21</v>
      </c>
      <c r="F234" s="11">
        <v>5</v>
      </c>
      <c r="G234" s="8" t="s">
        <v>18</v>
      </c>
      <c r="H234" s="8" t="s">
        <v>21</v>
      </c>
      <c r="I234" s="11" t="s">
        <v>309</v>
      </c>
      <c r="J234" s="8" t="s">
        <v>21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250</v>
      </c>
      <c r="C235" s="8" t="s">
        <v>16</v>
      </c>
      <c r="D235" s="10">
        <v>45581</v>
      </c>
      <c r="E235" s="8" t="s">
        <v>328</v>
      </c>
      <c r="F235" s="11">
        <v>15</v>
      </c>
      <c r="G235" s="8" t="s">
        <v>317</v>
      </c>
      <c r="H235" s="8" t="s">
        <v>17</v>
      </c>
      <c r="I235" s="11">
        <v>30</v>
      </c>
      <c r="J235" s="8" t="s">
        <v>17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251</v>
      </c>
      <c r="C236" s="8" t="s">
        <v>24</v>
      </c>
      <c r="D236" s="10">
        <v>45582</v>
      </c>
      <c r="E236" s="8" t="s">
        <v>21</v>
      </c>
      <c r="F236" s="11">
        <v>10</v>
      </c>
      <c r="G236" s="8" t="s">
        <v>18</v>
      </c>
      <c r="H236" s="8" t="s">
        <v>21</v>
      </c>
      <c r="I236" s="11" t="s">
        <v>309</v>
      </c>
      <c r="J236" s="8" t="s">
        <v>17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252</v>
      </c>
      <c r="C237" s="8" t="s">
        <v>20</v>
      </c>
      <c r="D237" s="10">
        <v>45583</v>
      </c>
      <c r="E237" s="8" t="s">
        <v>17</v>
      </c>
      <c r="F237" s="11">
        <v>5</v>
      </c>
      <c r="G237" s="8" t="s">
        <v>22</v>
      </c>
      <c r="H237" s="8" t="s">
        <v>21</v>
      </c>
      <c r="I237" s="11" t="s">
        <v>309</v>
      </c>
      <c r="J237" s="8" t="s">
        <v>21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253</v>
      </c>
      <c r="C238" s="8" t="s">
        <v>16</v>
      </c>
      <c r="D238" s="10">
        <v>45584</v>
      </c>
      <c r="E238" s="8" t="s">
        <v>327</v>
      </c>
      <c r="F238" s="11">
        <v>15</v>
      </c>
      <c r="G238" s="8" t="s">
        <v>316</v>
      </c>
      <c r="H238" s="8" t="s">
        <v>17</v>
      </c>
      <c r="I238" s="11">
        <v>30</v>
      </c>
      <c r="J238" s="8" t="s">
        <v>17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254</v>
      </c>
      <c r="C239" s="8" t="s">
        <v>24</v>
      </c>
      <c r="D239" s="10">
        <v>45585</v>
      </c>
      <c r="E239" s="8" t="s">
        <v>17</v>
      </c>
      <c r="F239" s="11">
        <v>10</v>
      </c>
      <c r="G239" s="8" t="s">
        <v>25</v>
      </c>
      <c r="H239" s="8" t="s">
        <v>21</v>
      </c>
      <c r="I239" s="11" t="s">
        <v>309</v>
      </c>
      <c r="J239" s="8" t="s">
        <v>17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255</v>
      </c>
      <c r="C240" s="8" t="s">
        <v>20</v>
      </c>
      <c r="D240" s="10">
        <v>45586</v>
      </c>
      <c r="E240" s="8" t="s">
        <v>21</v>
      </c>
      <c r="F240" s="11">
        <v>5</v>
      </c>
      <c r="G240" s="8" t="s">
        <v>18</v>
      </c>
      <c r="H240" s="8" t="s">
        <v>21</v>
      </c>
      <c r="I240" s="11" t="s">
        <v>309</v>
      </c>
      <c r="J240" s="8" t="s">
        <v>21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256</v>
      </c>
      <c r="C241" s="8" t="s">
        <v>16</v>
      </c>
      <c r="D241" s="10">
        <v>45587</v>
      </c>
      <c r="E241" s="8" t="s">
        <v>328</v>
      </c>
      <c r="F241" s="11">
        <v>15</v>
      </c>
      <c r="G241" s="8" t="s">
        <v>315</v>
      </c>
      <c r="H241" s="8" t="s">
        <v>17</v>
      </c>
      <c r="I241" s="11">
        <v>30</v>
      </c>
      <c r="J241" s="8" t="s">
        <v>17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257</v>
      </c>
      <c r="C242" s="8" t="s">
        <v>24</v>
      </c>
      <c r="D242" s="10">
        <v>45588</v>
      </c>
      <c r="E242" s="8" t="s">
        <v>21</v>
      </c>
      <c r="F242" s="11">
        <v>10</v>
      </c>
      <c r="G242" s="8" t="s">
        <v>18</v>
      </c>
      <c r="H242" s="8" t="s">
        <v>21</v>
      </c>
      <c r="I242" s="11" t="s">
        <v>309</v>
      </c>
      <c r="J242" s="8" t="s">
        <v>17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258</v>
      </c>
      <c r="C243" s="8" t="s">
        <v>20</v>
      </c>
      <c r="D243" s="10">
        <v>45589</v>
      </c>
      <c r="E243" s="8" t="s">
        <v>17</v>
      </c>
      <c r="F243" s="11">
        <v>5</v>
      </c>
      <c r="G243" s="8" t="s">
        <v>25</v>
      </c>
      <c r="H243" s="8" t="s">
        <v>21</v>
      </c>
      <c r="I243" s="11" t="s">
        <v>309</v>
      </c>
      <c r="J243" s="8" t="s">
        <v>21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167</v>
      </c>
      <c r="C244" s="8" t="s">
        <v>16</v>
      </c>
      <c r="D244" s="10">
        <v>45590</v>
      </c>
      <c r="E244" s="8" t="s">
        <v>327</v>
      </c>
      <c r="F244" s="11">
        <v>15</v>
      </c>
      <c r="G244" s="8" t="s">
        <v>316</v>
      </c>
      <c r="H244" s="8" t="s">
        <v>17</v>
      </c>
      <c r="I244" s="11">
        <v>30</v>
      </c>
      <c r="J244" s="8" t="s">
        <v>17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259</v>
      </c>
      <c r="C245" s="8" t="s">
        <v>24</v>
      </c>
      <c r="D245" s="10">
        <v>45591</v>
      </c>
      <c r="E245" s="8" t="s">
        <v>17</v>
      </c>
      <c r="F245" s="11">
        <v>10</v>
      </c>
      <c r="G245" s="8" t="s">
        <v>22</v>
      </c>
      <c r="H245" s="8" t="s">
        <v>21</v>
      </c>
      <c r="I245" s="11" t="s">
        <v>309</v>
      </c>
      <c r="J245" s="8" t="s">
        <v>17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260</v>
      </c>
      <c r="C246" s="8" t="s">
        <v>20</v>
      </c>
      <c r="D246" s="10">
        <v>45592</v>
      </c>
      <c r="E246" s="8" t="s">
        <v>21</v>
      </c>
      <c r="F246" s="11">
        <v>5</v>
      </c>
      <c r="G246" s="8" t="s">
        <v>18</v>
      </c>
      <c r="H246" s="8" t="s">
        <v>21</v>
      </c>
      <c r="I246" s="11" t="s">
        <v>309</v>
      </c>
      <c r="J246" s="8" t="s">
        <v>21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261</v>
      </c>
      <c r="C247" s="8" t="s">
        <v>16</v>
      </c>
      <c r="D247" s="10">
        <v>45593</v>
      </c>
      <c r="E247" s="8" t="s">
        <v>328</v>
      </c>
      <c r="F247" s="11">
        <v>15</v>
      </c>
      <c r="G247" s="8" t="s">
        <v>317</v>
      </c>
      <c r="H247" s="8" t="s">
        <v>17</v>
      </c>
      <c r="I247" s="11">
        <v>30</v>
      </c>
      <c r="J247" s="8" t="s">
        <v>17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262</v>
      </c>
      <c r="C248" s="8" t="s">
        <v>24</v>
      </c>
      <c r="D248" s="10">
        <v>45594</v>
      </c>
      <c r="E248" s="8" t="s">
        <v>21</v>
      </c>
      <c r="F248" s="11">
        <v>10</v>
      </c>
      <c r="G248" s="8" t="s">
        <v>18</v>
      </c>
      <c r="H248" s="8" t="s">
        <v>21</v>
      </c>
      <c r="I248" s="11" t="s">
        <v>309</v>
      </c>
      <c r="J248" s="8" t="s">
        <v>17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263</v>
      </c>
      <c r="C249" s="8" t="s">
        <v>20</v>
      </c>
      <c r="D249" s="10">
        <v>45595</v>
      </c>
      <c r="E249" s="8" t="s">
        <v>17</v>
      </c>
      <c r="F249" s="11">
        <v>5</v>
      </c>
      <c r="G249" s="8" t="s">
        <v>22</v>
      </c>
      <c r="H249" s="8" t="s">
        <v>21</v>
      </c>
      <c r="I249" s="11" t="s">
        <v>309</v>
      </c>
      <c r="J249" s="8" t="s">
        <v>21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264</v>
      </c>
      <c r="C250" s="8" t="s">
        <v>16</v>
      </c>
      <c r="D250" s="10">
        <v>45596</v>
      </c>
      <c r="E250" s="8" t="s">
        <v>327</v>
      </c>
      <c r="F250" s="11">
        <v>15</v>
      </c>
      <c r="G250" s="8" t="s">
        <v>316</v>
      </c>
      <c r="H250" s="8" t="s">
        <v>17</v>
      </c>
      <c r="I250" s="11">
        <v>30</v>
      </c>
      <c r="J250" s="8" t="s">
        <v>17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265</v>
      </c>
      <c r="C251" s="8" t="s">
        <v>24</v>
      </c>
      <c r="D251" s="10">
        <v>45597</v>
      </c>
      <c r="E251" s="8" t="s">
        <v>17</v>
      </c>
      <c r="F251" s="11">
        <v>10</v>
      </c>
      <c r="G251" s="8" t="s">
        <v>25</v>
      </c>
      <c r="H251" s="8" t="s">
        <v>21</v>
      </c>
      <c r="I251" s="11" t="s">
        <v>309</v>
      </c>
      <c r="J251" s="8" t="s">
        <v>17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266</v>
      </c>
      <c r="C252" s="8" t="s">
        <v>20</v>
      </c>
      <c r="D252" s="10">
        <v>45598</v>
      </c>
      <c r="E252" s="8" t="s">
        <v>21</v>
      </c>
      <c r="F252" s="11">
        <v>5</v>
      </c>
      <c r="G252" s="8" t="s">
        <v>18</v>
      </c>
      <c r="H252" s="8" t="s">
        <v>21</v>
      </c>
      <c r="I252" s="11" t="s">
        <v>309</v>
      </c>
      <c r="J252" s="8" t="s">
        <v>21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267</v>
      </c>
      <c r="C253" s="8" t="s">
        <v>16</v>
      </c>
      <c r="D253" s="10">
        <v>45599</v>
      </c>
      <c r="E253" s="8" t="s">
        <v>328</v>
      </c>
      <c r="F253" s="11">
        <v>15</v>
      </c>
      <c r="G253" s="8" t="s">
        <v>315</v>
      </c>
      <c r="H253" s="8" t="s">
        <v>17</v>
      </c>
      <c r="I253" s="11">
        <v>30</v>
      </c>
      <c r="J253" s="8" t="s">
        <v>17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268</v>
      </c>
      <c r="C254" s="8" t="s">
        <v>24</v>
      </c>
      <c r="D254" s="10">
        <v>45600</v>
      </c>
      <c r="E254" s="8" t="s">
        <v>21</v>
      </c>
      <c r="F254" s="11">
        <v>10</v>
      </c>
      <c r="G254" s="8" t="s">
        <v>18</v>
      </c>
      <c r="H254" s="8" t="s">
        <v>21</v>
      </c>
      <c r="I254" s="11" t="s">
        <v>309</v>
      </c>
      <c r="J254" s="8" t="s">
        <v>17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269</v>
      </c>
      <c r="C255" s="8" t="s">
        <v>20</v>
      </c>
      <c r="D255" s="10">
        <v>45601</v>
      </c>
      <c r="E255" s="8" t="s">
        <v>17</v>
      </c>
      <c r="F255" s="11">
        <v>5</v>
      </c>
      <c r="G255" s="8" t="s">
        <v>25</v>
      </c>
      <c r="H255" s="8" t="s">
        <v>21</v>
      </c>
      <c r="I255" s="11" t="s">
        <v>309</v>
      </c>
      <c r="J255" s="8" t="s">
        <v>21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270</v>
      </c>
      <c r="C256" s="8" t="s">
        <v>16</v>
      </c>
      <c r="D256" s="10">
        <v>45602</v>
      </c>
      <c r="E256" s="8" t="s">
        <v>327</v>
      </c>
      <c r="F256" s="11">
        <v>15</v>
      </c>
      <c r="G256" s="8" t="s">
        <v>316</v>
      </c>
      <c r="H256" s="8" t="s">
        <v>17</v>
      </c>
      <c r="I256" s="11">
        <v>30</v>
      </c>
      <c r="J256" s="8" t="s">
        <v>17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271</v>
      </c>
      <c r="C257" s="8" t="s">
        <v>20</v>
      </c>
      <c r="D257" s="10">
        <v>45603</v>
      </c>
      <c r="E257" s="8" t="s">
        <v>17</v>
      </c>
      <c r="F257" s="11">
        <v>5</v>
      </c>
      <c r="G257" s="8" t="s">
        <v>18</v>
      </c>
      <c r="H257" s="8" t="s">
        <v>21</v>
      </c>
      <c r="I257" s="11" t="s">
        <v>309</v>
      </c>
      <c r="J257" s="8" t="s">
        <v>21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272</v>
      </c>
      <c r="C258" s="8" t="s">
        <v>16</v>
      </c>
      <c r="D258" s="10">
        <v>45604</v>
      </c>
      <c r="E258" s="8" t="s">
        <v>327</v>
      </c>
      <c r="F258" s="11">
        <v>15</v>
      </c>
      <c r="G258" s="8" t="s">
        <v>317</v>
      </c>
      <c r="H258" s="8" t="s">
        <v>17</v>
      </c>
      <c r="I258" s="11">
        <v>30</v>
      </c>
      <c r="J258" s="8" t="s">
        <v>17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273</v>
      </c>
      <c r="C259" s="8" t="s">
        <v>24</v>
      </c>
      <c r="D259" s="10">
        <v>45605</v>
      </c>
      <c r="E259" s="8" t="s">
        <v>17</v>
      </c>
      <c r="F259" s="11">
        <v>10</v>
      </c>
      <c r="G259" s="8" t="s">
        <v>22</v>
      </c>
      <c r="H259" s="8" t="s">
        <v>21</v>
      </c>
      <c r="I259" s="11" t="s">
        <v>309</v>
      </c>
      <c r="J259" s="8" t="s">
        <v>17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274</v>
      </c>
      <c r="C260" s="8" t="s">
        <v>20</v>
      </c>
      <c r="D260" s="10">
        <v>45606</v>
      </c>
      <c r="E260" s="8" t="s">
        <v>21</v>
      </c>
      <c r="F260" s="11">
        <v>5</v>
      </c>
      <c r="G260" s="8" t="s">
        <v>25</v>
      </c>
      <c r="H260" s="8" t="s">
        <v>21</v>
      </c>
      <c r="I260" s="11" t="s">
        <v>309</v>
      </c>
      <c r="J260" s="8" t="s">
        <v>21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275</v>
      </c>
      <c r="C261" s="8" t="s">
        <v>16</v>
      </c>
      <c r="D261" s="10">
        <v>45607</v>
      </c>
      <c r="E261" s="8" t="s">
        <v>328</v>
      </c>
      <c r="F261" s="11">
        <v>15</v>
      </c>
      <c r="G261" s="8" t="s">
        <v>316</v>
      </c>
      <c r="H261" s="8" t="s">
        <v>17</v>
      </c>
      <c r="I261" s="11">
        <v>30</v>
      </c>
      <c r="J261" s="8" t="s">
        <v>17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276</v>
      </c>
      <c r="C262" s="8" t="s">
        <v>24</v>
      </c>
      <c r="D262" s="10">
        <v>45608</v>
      </c>
      <c r="E262" s="8" t="s">
        <v>21</v>
      </c>
      <c r="F262" s="11">
        <v>10</v>
      </c>
      <c r="G262" s="8" t="s">
        <v>18</v>
      </c>
      <c r="H262" s="8" t="s">
        <v>21</v>
      </c>
      <c r="I262" s="11" t="s">
        <v>309</v>
      </c>
      <c r="J262" s="8" t="s">
        <v>17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277</v>
      </c>
      <c r="C263" s="8" t="s">
        <v>20</v>
      </c>
      <c r="D263" s="10">
        <v>45609</v>
      </c>
      <c r="E263" s="8" t="s">
        <v>17</v>
      </c>
      <c r="F263" s="11">
        <v>5</v>
      </c>
      <c r="G263" s="8" t="s">
        <v>22</v>
      </c>
      <c r="H263" s="8" t="s">
        <v>21</v>
      </c>
      <c r="I263" s="11" t="s">
        <v>309</v>
      </c>
      <c r="J263" s="8" t="s">
        <v>21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278</v>
      </c>
      <c r="C264" s="8" t="s">
        <v>16</v>
      </c>
      <c r="D264" s="10">
        <v>45610</v>
      </c>
      <c r="E264" s="8" t="s">
        <v>327</v>
      </c>
      <c r="F264" s="11">
        <v>15</v>
      </c>
      <c r="G264" s="8" t="s">
        <v>317</v>
      </c>
      <c r="H264" s="8" t="s">
        <v>17</v>
      </c>
      <c r="I264" s="11">
        <v>30</v>
      </c>
      <c r="J264" s="8" t="s">
        <v>17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279</v>
      </c>
      <c r="C265" s="8" t="s">
        <v>24</v>
      </c>
      <c r="D265" s="10">
        <v>45611</v>
      </c>
      <c r="E265" s="8" t="s">
        <v>17</v>
      </c>
      <c r="F265" s="11">
        <v>10</v>
      </c>
      <c r="G265" s="8" t="s">
        <v>25</v>
      </c>
      <c r="H265" s="8" t="s">
        <v>21</v>
      </c>
      <c r="I265" s="11" t="s">
        <v>309</v>
      </c>
      <c r="J265" s="8" t="s">
        <v>17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280</v>
      </c>
      <c r="C266" s="8" t="s">
        <v>20</v>
      </c>
      <c r="D266" s="10">
        <v>45612</v>
      </c>
      <c r="E266" s="8" t="s">
        <v>21</v>
      </c>
      <c r="F266" s="11">
        <v>5</v>
      </c>
      <c r="G266" s="8" t="s">
        <v>18</v>
      </c>
      <c r="H266" s="8" t="s">
        <v>21</v>
      </c>
      <c r="I266" s="11" t="s">
        <v>309</v>
      </c>
      <c r="J266" s="8" t="s">
        <v>21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281</v>
      </c>
      <c r="C267" s="8" t="s">
        <v>16</v>
      </c>
      <c r="D267" s="10">
        <v>45613</v>
      </c>
      <c r="E267" s="8" t="s">
        <v>328</v>
      </c>
      <c r="F267" s="11">
        <v>15</v>
      </c>
      <c r="G267" s="8" t="s">
        <v>315</v>
      </c>
      <c r="H267" s="8" t="s">
        <v>17</v>
      </c>
      <c r="I267" s="11">
        <v>30</v>
      </c>
      <c r="J267" s="8" t="s">
        <v>17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282</v>
      </c>
      <c r="C268" s="8" t="s">
        <v>24</v>
      </c>
      <c r="D268" s="10">
        <v>45614</v>
      </c>
      <c r="E268" s="8" t="s">
        <v>21</v>
      </c>
      <c r="F268" s="11">
        <v>10</v>
      </c>
      <c r="G268" s="8" t="s">
        <v>18</v>
      </c>
      <c r="H268" s="8" t="s">
        <v>21</v>
      </c>
      <c r="I268" s="11" t="s">
        <v>309</v>
      </c>
      <c r="J268" s="8" t="s">
        <v>17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283</v>
      </c>
      <c r="C269" s="8" t="s">
        <v>20</v>
      </c>
      <c r="D269" s="10">
        <v>45615</v>
      </c>
      <c r="E269" s="8" t="s">
        <v>17</v>
      </c>
      <c r="F269" s="11">
        <v>5</v>
      </c>
      <c r="G269" s="8" t="s">
        <v>25</v>
      </c>
      <c r="H269" s="8" t="s">
        <v>21</v>
      </c>
      <c r="I269" s="11" t="s">
        <v>309</v>
      </c>
      <c r="J269" s="8" t="s">
        <v>21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284</v>
      </c>
      <c r="C270" s="8" t="s">
        <v>16</v>
      </c>
      <c r="D270" s="10">
        <v>45616</v>
      </c>
      <c r="E270" s="8" t="s">
        <v>327</v>
      </c>
      <c r="F270" s="11">
        <v>15</v>
      </c>
      <c r="G270" s="8" t="s">
        <v>316</v>
      </c>
      <c r="H270" s="8" t="s">
        <v>17</v>
      </c>
      <c r="I270" s="11">
        <v>30</v>
      </c>
      <c r="J270" s="8" t="s">
        <v>17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285</v>
      </c>
      <c r="C271" s="8" t="s">
        <v>24</v>
      </c>
      <c r="D271" s="10">
        <v>45617</v>
      </c>
      <c r="E271" s="8" t="s">
        <v>17</v>
      </c>
      <c r="F271" s="11">
        <v>10</v>
      </c>
      <c r="G271" s="8" t="s">
        <v>22</v>
      </c>
      <c r="H271" s="8" t="s">
        <v>21</v>
      </c>
      <c r="I271" s="11" t="s">
        <v>309</v>
      </c>
      <c r="J271" s="8" t="s">
        <v>17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286</v>
      </c>
      <c r="C272" s="8" t="s">
        <v>20</v>
      </c>
      <c r="D272" s="10">
        <v>45618</v>
      </c>
      <c r="E272" s="8" t="s">
        <v>21</v>
      </c>
      <c r="F272" s="11">
        <v>5</v>
      </c>
      <c r="G272" s="8" t="s">
        <v>18</v>
      </c>
      <c r="H272" s="8" t="s">
        <v>21</v>
      </c>
      <c r="I272" s="11" t="s">
        <v>309</v>
      </c>
      <c r="J272" s="8" t="s">
        <v>21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287</v>
      </c>
      <c r="C273" s="8" t="s">
        <v>16</v>
      </c>
      <c r="D273" s="10">
        <v>45619</v>
      </c>
      <c r="E273" s="8" t="s">
        <v>328</v>
      </c>
      <c r="F273" s="11">
        <v>15</v>
      </c>
      <c r="G273" s="8" t="s">
        <v>317</v>
      </c>
      <c r="H273" s="8" t="s">
        <v>17</v>
      </c>
      <c r="I273" s="11">
        <v>30</v>
      </c>
      <c r="J273" s="8" t="s">
        <v>17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146</v>
      </c>
      <c r="C274" s="8" t="s">
        <v>24</v>
      </c>
      <c r="D274" s="10">
        <v>45620</v>
      </c>
      <c r="E274" s="8" t="s">
        <v>21</v>
      </c>
      <c r="F274" s="11">
        <v>10</v>
      </c>
      <c r="G274" s="8" t="s">
        <v>18</v>
      </c>
      <c r="H274" s="8" t="s">
        <v>21</v>
      </c>
      <c r="I274" s="11" t="s">
        <v>309</v>
      </c>
      <c r="J274" s="8" t="s">
        <v>17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288</v>
      </c>
      <c r="C275" s="8" t="s">
        <v>20</v>
      </c>
      <c r="D275" s="10">
        <v>45621</v>
      </c>
      <c r="E275" s="8" t="s">
        <v>17</v>
      </c>
      <c r="F275" s="11">
        <v>5</v>
      </c>
      <c r="G275" s="8" t="s">
        <v>22</v>
      </c>
      <c r="H275" s="8" t="s">
        <v>21</v>
      </c>
      <c r="I275" s="11" t="s">
        <v>309</v>
      </c>
      <c r="J275" s="8" t="s">
        <v>21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289</v>
      </c>
      <c r="C276" s="8" t="s">
        <v>16</v>
      </c>
      <c r="D276" s="10">
        <v>45622</v>
      </c>
      <c r="E276" s="8" t="s">
        <v>327</v>
      </c>
      <c r="F276" s="11">
        <v>15</v>
      </c>
      <c r="G276" s="8" t="s">
        <v>316</v>
      </c>
      <c r="H276" s="8" t="s">
        <v>17</v>
      </c>
      <c r="I276" s="11">
        <v>30</v>
      </c>
      <c r="J276" s="8" t="s">
        <v>17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290</v>
      </c>
      <c r="C277" s="8" t="s">
        <v>24</v>
      </c>
      <c r="D277" s="10">
        <v>45623</v>
      </c>
      <c r="E277" s="8" t="s">
        <v>17</v>
      </c>
      <c r="F277" s="11">
        <v>10</v>
      </c>
      <c r="G277" s="8" t="s">
        <v>25</v>
      </c>
      <c r="H277" s="8" t="s">
        <v>21</v>
      </c>
      <c r="I277" s="11" t="s">
        <v>309</v>
      </c>
      <c r="J277" s="8" t="s">
        <v>17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291</v>
      </c>
      <c r="C278" s="8" t="s">
        <v>20</v>
      </c>
      <c r="D278" s="10">
        <v>45624</v>
      </c>
      <c r="E278" s="8" t="s">
        <v>21</v>
      </c>
      <c r="F278" s="11">
        <v>5</v>
      </c>
      <c r="G278" s="8" t="s">
        <v>18</v>
      </c>
      <c r="H278" s="8" t="s">
        <v>21</v>
      </c>
      <c r="I278" s="11" t="s">
        <v>309</v>
      </c>
      <c r="J278" s="8" t="s">
        <v>21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292</v>
      </c>
      <c r="C279" s="8" t="s">
        <v>16</v>
      </c>
      <c r="D279" s="10">
        <v>45625</v>
      </c>
      <c r="E279" s="8" t="s">
        <v>328</v>
      </c>
      <c r="F279" s="11">
        <v>15</v>
      </c>
      <c r="G279" s="8" t="s">
        <v>315</v>
      </c>
      <c r="H279" s="8" t="s">
        <v>17</v>
      </c>
      <c r="I279" s="11">
        <v>30</v>
      </c>
      <c r="J279" s="8" t="s">
        <v>17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293</v>
      </c>
      <c r="C280" s="8" t="s">
        <v>24</v>
      </c>
      <c r="D280" s="10">
        <v>45626</v>
      </c>
      <c r="E280" s="8" t="s">
        <v>21</v>
      </c>
      <c r="F280" s="11">
        <v>10</v>
      </c>
      <c r="G280" s="8" t="s">
        <v>18</v>
      </c>
      <c r="H280" s="8" t="s">
        <v>21</v>
      </c>
      <c r="I280" s="11" t="s">
        <v>309</v>
      </c>
      <c r="J280" s="8" t="s">
        <v>17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294</v>
      </c>
      <c r="C281" s="8" t="s">
        <v>20</v>
      </c>
      <c r="D281" s="10">
        <v>45627</v>
      </c>
      <c r="E281" s="8" t="s">
        <v>17</v>
      </c>
      <c r="F281" s="11">
        <v>5</v>
      </c>
      <c r="G281" s="8" t="s">
        <v>25</v>
      </c>
      <c r="H281" s="8" t="s">
        <v>21</v>
      </c>
      <c r="I281" s="11" t="s">
        <v>309</v>
      </c>
      <c r="J281" s="8" t="s">
        <v>21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295</v>
      </c>
      <c r="C282" s="8" t="s">
        <v>16</v>
      </c>
      <c r="D282" s="10">
        <v>45628</v>
      </c>
      <c r="E282" s="8" t="s">
        <v>327</v>
      </c>
      <c r="F282" s="11">
        <v>15</v>
      </c>
      <c r="G282" s="8" t="s">
        <v>316</v>
      </c>
      <c r="H282" s="8" t="s">
        <v>17</v>
      </c>
      <c r="I282" s="11">
        <v>30</v>
      </c>
      <c r="J282" s="8" t="s">
        <v>17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296</v>
      </c>
      <c r="C283" s="8" t="s">
        <v>24</v>
      </c>
      <c r="D283" s="10">
        <v>45629</v>
      </c>
      <c r="E283" s="8" t="s">
        <v>17</v>
      </c>
      <c r="F283" s="11">
        <v>10</v>
      </c>
      <c r="G283" s="8" t="s">
        <v>22</v>
      </c>
      <c r="H283" s="8" t="s">
        <v>21</v>
      </c>
      <c r="I283" s="11" t="s">
        <v>309</v>
      </c>
      <c r="J283" s="8" t="s">
        <v>17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297</v>
      </c>
      <c r="C284" s="8" t="s">
        <v>20</v>
      </c>
      <c r="D284" s="10">
        <v>45630</v>
      </c>
      <c r="E284" s="8" t="s">
        <v>21</v>
      </c>
      <c r="F284" s="11">
        <v>5</v>
      </c>
      <c r="G284" s="8" t="s">
        <v>18</v>
      </c>
      <c r="H284" s="8" t="s">
        <v>21</v>
      </c>
      <c r="I284" s="11" t="s">
        <v>309</v>
      </c>
      <c r="J284" s="8" t="s">
        <v>21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298</v>
      </c>
      <c r="C285" s="8" t="s">
        <v>16</v>
      </c>
      <c r="D285" s="10">
        <v>45631</v>
      </c>
      <c r="E285" s="8" t="s">
        <v>328</v>
      </c>
      <c r="F285" s="11">
        <v>15</v>
      </c>
      <c r="G285" s="8" t="s">
        <v>317</v>
      </c>
      <c r="H285" s="8" t="s">
        <v>17</v>
      </c>
      <c r="I285" s="11">
        <v>30</v>
      </c>
      <c r="J285" s="8" t="s">
        <v>17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157</v>
      </c>
      <c r="C286" s="8" t="s">
        <v>24</v>
      </c>
      <c r="D286" s="10">
        <v>45632</v>
      </c>
      <c r="E286" s="8" t="s">
        <v>21</v>
      </c>
      <c r="F286" s="11">
        <v>10</v>
      </c>
      <c r="G286" s="8" t="s">
        <v>18</v>
      </c>
      <c r="H286" s="8" t="s">
        <v>21</v>
      </c>
      <c r="I286" s="11" t="s">
        <v>309</v>
      </c>
      <c r="J286" s="8" t="s">
        <v>17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158</v>
      </c>
      <c r="C287" s="8" t="s">
        <v>20</v>
      </c>
      <c r="D287" s="10">
        <v>45633</v>
      </c>
      <c r="E287" s="8" t="s">
        <v>17</v>
      </c>
      <c r="F287" s="11">
        <v>5</v>
      </c>
      <c r="G287" s="8" t="s">
        <v>22</v>
      </c>
      <c r="H287" s="8" t="s">
        <v>21</v>
      </c>
      <c r="I287" s="11" t="s">
        <v>309</v>
      </c>
      <c r="J287" s="8" t="s">
        <v>21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208</v>
      </c>
      <c r="C288" s="8" t="s">
        <v>16</v>
      </c>
      <c r="D288" s="10">
        <v>45634</v>
      </c>
      <c r="E288" s="8" t="s">
        <v>327</v>
      </c>
      <c r="F288" s="11">
        <v>15</v>
      </c>
      <c r="G288" s="8" t="s">
        <v>316</v>
      </c>
      <c r="H288" s="8" t="s">
        <v>17</v>
      </c>
      <c r="I288" s="11">
        <v>30</v>
      </c>
      <c r="J288" s="8" t="s">
        <v>17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299</v>
      </c>
      <c r="C289" s="8" t="s">
        <v>24</v>
      </c>
      <c r="D289" s="10">
        <v>45635</v>
      </c>
      <c r="E289" s="8" t="s">
        <v>17</v>
      </c>
      <c r="F289" s="11">
        <v>10</v>
      </c>
      <c r="G289" s="8" t="s">
        <v>25</v>
      </c>
      <c r="H289" s="8" t="s">
        <v>21</v>
      </c>
      <c r="I289" s="11" t="s">
        <v>309</v>
      </c>
      <c r="J289" s="8" t="s">
        <v>17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300</v>
      </c>
      <c r="C290" s="8" t="s">
        <v>20</v>
      </c>
      <c r="D290" s="10">
        <v>45636</v>
      </c>
      <c r="E290" s="8" t="s">
        <v>21</v>
      </c>
      <c r="F290" s="11">
        <v>5</v>
      </c>
      <c r="G290" s="8" t="s">
        <v>18</v>
      </c>
      <c r="H290" s="8" t="s">
        <v>21</v>
      </c>
      <c r="I290" s="11" t="s">
        <v>309</v>
      </c>
      <c r="J290" s="8" t="s">
        <v>21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301</v>
      </c>
      <c r="C291" s="8" t="s">
        <v>16</v>
      </c>
      <c r="D291" s="10">
        <v>45637</v>
      </c>
      <c r="E291" s="8" t="s">
        <v>328</v>
      </c>
      <c r="F291" s="11">
        <v>15</v>
      </c>
      <c r="G291" s="8" t="s">
        <v>315</v>
      </c>
      <c r="H291" s="8" t="s">
        <v>17</v>
      </c>
      <c r="I291" s="11">
        <v>30</v>
      </c>
      <c r="J291" s="8" t="s">
        <v>17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302</v>
      </c>
      <c r="C292" s="8" t="s">
        <v>24</v>
      </c>
      <c r="D292" s="10">
        <v>45638</v>
      </c>
      <c r="E292" s="8" t="s">
        <v>21</v>
      </c>
      <c r="F292" s="11">
        <v>10</v>
      </c>
      <c r="G292" s="8" t="s">
        <v>18</v>
      </c>
      <c r="H292" s="8" t="s">
        <v>21</v>
      </c>
      <c r="I292" s="11" t="s">
        <v>309</v>
      </c>
      <c r="J292" s="8" t="s">
        <v>17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303</v>
      </c>
      <c r="C293" s="8" t="s">
        <v>20</v>
      </c>
      <c r="D293" s="10">
        <v>45639</v>
      </c>
      <c r="E293" s="8" t="s">
        <v>17</v>
      </c>
      <c r="F293" s="11">
        <v>5</v>
      </c>
      <c r="G293" s="8" t="s">
        <v>25</v>
      </c>
      <c r="H293" s="8" t="s">
        <v>21</v>
      </c>
      <c r="I293" s="11" t="s">
        <v>309</v>
      </c>
      <c r="J293" s="8" t="s">
        <v>21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304</v>
      </c>
      <c r="C294" s="8" t="s">
        <v>16</v>
      </c>
      <c r="D294" s="10">
        <v>45640</v>
      </c>
      <c r="E294" s="8" t="s">
        <v>327</v>
      </c>
      <c r="F294" s="11">
        <v>15</v>
      </c>
      <c r="G294" s="8" t="s">
        <v>316</v>
      </c>
      <c r="H294" s="8" t="s">
        <v>17</v>
      </c>
      <c r="I294" s="11">
        <v>30</v>
      </c>
      <c r="J294" s="8" t="s">
        <v>17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305</v>
      </c>
      <c r="C295" s="8" t="s">
        <v>24</v>
      </c>
      <c r="D295" s="10">
        <v>45641</v>
      </c>
      <c r="E295" s="8" t="s">
        <v>17</v>
      </c>
      <c r="F295" s="11">
        <v>10</v>
      </c>
      <c r="G295" s="8" t="s">
        <v>22</v>
      </c>
      <c r="H295" s="8" t="s">
        <v>21</v>
      </c>
      <c r="I295" s="11" t="s">
        <v>309</v>
      </c>
      <c r="J295" s="8" t="s">
        <v>17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306</v>
      </c>
      <c r="C296" s="8" t="s">
        <v>20</v>
      </c>
      <c r="D296" s="10">
        <v>45642</v>
      </c>
      <c r="E296" s="8" t="s">
        <v>21</v>
      </c>
      <c r="F296" s="11">
        <v>5</v>
      </c>
      <c r="G296" s="8" t="s">
        <v>18</v>
      </c>
      <c r="H296" s="8" t="s">
        <v>21</v>
      </c>
      <c r="I296" s="11" t="s">
        <v>309</v>
      </c>
      <c r="J296" s="8" t="s">
        <v>21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5:T51"/>
  <sheetViews>
    <sheetView showGridLines="0" topLeftCell="E1" workbookViewId="0">
      <selection activeCell="J28" sqref="J28:K32"/>
    </sheetView>
  </sheetViews>
  <sheetFormatPr defaultRowHeight="15" x14ac:dyDescent="0.25"/>
  <cols>
    <col min="3" max="3" width="18.42578125" bestFit="1" customWidth="1"/>
    <col min="4" max="4" width="22.140625" bestFit="1" customWidth="1"/>
    <col min="5" max="5" width="9.140625" bestFit="1" customWidth="1"/>
    <col min="6" max="6" width="19.140625" bestFit="1" customWidth="1"/>
    <col min="7" max="7" width="27.7109375" bestFit="1" customWidth="1"/>
    <col min="8" max="8" width="5.42578125" customWidth="1"/>
    <col min="9" max="10" width="18.42578125" bestFit="1" customWidth="1"/>
    <col min="11" max="11" width="19.28515625" bestFit="1" customWidth="1"/>
    <col min="12" max="12" width="35.140625" bestFit="1" customWidth="1"/>
    <col min="13" max="13" width="27.28515625" bestFit="1" customWidth="1"/>
    <col min="14" max="14" width="23.7109375" customWidth="1"/>
    <col min="15" max="15" width="9.7109375" bestFit="1" customWidth="1"/>
    <col min="16" max="16" width="15.5703125" bestFit="1" customWidth="1"/>
    <col min="17" max="17" width="12.140625" bestFit="1" customWidth="1"/>
  </cols>
  <sheetData>
    <row r="5" spans="3:20" x14ac:dyDescent="0.25">
      <c r="C5" t="s">
        <v>310</v>
      </c>
    </row>
    <row r="6" spans="3:20" x14ac:dyDescent="0.25">
      <c r="C6" t="s">
        <v>311</v>
      </c>
    </row>
    <row r="12" spans="3:20" x14ac:dyDescent="0.25">
      <c r="C12" t="s">
        <v>325</v>
      </c>
    </row>
    <row r="13" spans="3:20" x14ac:dyDescent="0.25">
      <c r="G13" s="12">
        <f>GETPIVOTDATA("EA Play Season Pass
Price",$C$16)</f>
        <v>2940</v>
      </c>
      <c r="J13" s="24" t="s">
        <v>314</v>
      </c>
      <c r="K13" t="s">
        <v>322</v>
      </c>
      <c r="R13" s="15"/>
      <c r="S13" s="16"/>
      <c r="T13" s="17"/>
    </row>
    <row r="14" spans="3:20" x14ac:dyDescent="0.25">
      <c r="M14" s="25"/>
      <c r="N14" s="26"/>
      <c r="O14" s="25"/>
      <c r="P14" s="25"/>
      <c r="R14" s="18"/>
      <c r="S14" s="19"/>
      <c r="T14" s="20"/>
    </row>
    <row r="15" spans="3:20" x14ac:dyDescent="0.25">
      <c r="J15" s="24" t="s">
        <v>320</v>
      </c>
      <c r="K15" t="s">
        <v>326</v>
      </c>
      <c r="M15" t="s">
        <v>332</v>
      </c>
      <c r="N15" t="s">
        <v>333</v>
      </c>
      <c r="O15" s="25"/>
      <c r="P15" s="25"/>
      <c r="R15" s="18"/>
      <c r="S15" s="19"/>
      <c r="T15" s="20"/>
    </row>
    <row r="16" spans="3:20" x14ac:dyDescent="0.25">
      <c r="C16" s="24" t="s">
        <v>314</v>
      </c>
      <c r="D16" t="s">
        <v>322</v>
      </c>
      <c r="J16" s="25" t="s">
        <v>20</v>
      </c>
      <c r="K16" s="26">
        <v>444</v>
      </c>
      <c r="M16" s="12">
        <f>GETPIVOTDATA("Total Value",$J$15)</f>
        <v>7633</v>
      </c>
      <c r="N16" s="12">
        <v>6512</v>
      </c>
      <c r="O16" s="25"/>
      <c r="P16" s="25"/>
      <c r="R16" s="18"/>
      <c r="S16" s="19"/>
      <c r="T16" s="20"/>
    </row>
    <row r="17" spans="3:20" x14ac:dyDescent="0.25">
      <c r="J17" s="25" t="s">
        <v>24</v>
      </c>
      <c r="K17" s="26">
        <v>1801</v>
      </c>
      <c r="O17" s="25"/>
      <c r="P17" s="25"/>
      <c r="R17" s="18"/>
      <c r="S17" s="19"/>
      <c r="T17" s="20"/>
    </row>
    <row r="18" spans="3:20" x14ac:dyDescent="0.25">
      <c r="C18" s="24" t="s">
        <v>320</v>
      </c>
      <c r="D18" t="s">
        <v>323</v>
      </c>
      <c r="E18" t="s">
        <v>331</v>
      </c>
      <c r="J18" s="25" t="s">
        <v>16</v>
      </c>
      <c r="K18" s="26">
        <v>5388</v>
      </c>
      <c r="R18" s="18"/>
      <c r="S18" s="19"/>
      <c r="T18" s="20"/>
    </row>
    <row r="19" spans="3:20" x14ac:dyDescent="0.25">
      <c r="C19" s="25" t="s">
        <v>20</v>
      </c>
      <c r="D19" s="26">
        <v>0</v>
      </c>
      <c r="E19" s="26">
        <v>505</v>
      </c>
      <c r="J19" s="25" t="s">
        <v>321</v>
      </c>
      <c r="K19" s="26">
        <v>7633</v>
      </c>
      <c r="R19" s="18"/>
      <c r="S19" s="19"/>
      <c r="T19" s="20"/>
    </row>
    <row r="20" spans="3:20" x14ac:dyDescent="0.25">
      <c r="C20" s="25" t="s">
        <v>24</v>
      </c>
      <c r="D20" s="26">
        <v>0</v>
      </c>
      <c r="E20" s="26">
        <v>960</v>
      </c>
      <c r="R20" s="18"/>
      <c r="S20" s="19"/>
      <c r="T20" s="20"/>
    </row>
    <row r="21" spans="3:20" x14ac:dyDescent="0.25">
      <c r="C21" s="25" t="s">
        <v>16</v>
      </c>
      <c r="D21" s="26">
        <v>2940</v>
      </c>
      <c r="E21" s="26">
        <v>1470</v>
      </c>
      <c r="R21" s="18"/>
      <c r="S21" s="19"/>
      <c r="T21" s="20"/>
    </row>
    <row r="22" spans="3:20" x14ac:dyDescent="0.25">
      <c r="C22" s="25" t="s">
        <v>321</v>
      </c>
      <c r="D22" s="26">
        <v>2940</v>
      </c>
      <c r="E22" s="26">
        <v>2935</v>
      </c>
      <c r="G22" s="12">
        <f>GETPIVOTDATA("Soma de Preço de assinatura",$C$18)</f>
        <v>2935</v>
      </c>
      <c r="N22" s="15"/>
      <c r="O22" s="16"/>
      <c r="P22" s="17"/>
      <c r="R22" s="18"/>
      <c r="S22" s="19"/>
      <c r="T22" s="20"/>
    </row>
    <row r="23" spans="3:20" x14ac:dyDescent="0.25">
      <c r="N23" s="18"/>
      <c r="O23" s="19"/>
      <c r="P23" s="20"/>
      <c r="R23" s="18"/>
      <c r="S23" s="19"/>
      <c r="T23" s="20"/>
    </row>
    <row r="24" spans="3:20" x14ac:dyDescent="0.25">
      <c r="N24" s="18"/>
      <c r="O24" s="19"/>
      <c r="P24" s="20"/>
      <c r="R24" s="18"/>
      <c r="S24" s="19"/>
      <c r="T24" s="20"/>
    </row>
    <row r="25" spans="3:20" x14ac:dyDescent="0.25">
      <c r="C25" t="s">
        <v>312</v>
      </c>
      <c r="N25" s="18"/>
      <c r="O25" s="19"/>
      <c r="P25" s="20"/>
      <c r="R25" s="18"/>
      <c r="S25" s="19"/>
      <c r="T25" s="20"/>
    </row>
    <row r="26" spans="3:20" x14ac:dyDescent="0.25">
      <c r="N26" s="18"/>
      <c r="O26" s="19"/>
      <c r="P26" s="20"/>
      <c r="R26" s="18"/>
      <c r="S26" s="19"/>
      <c r="T26" s="20"/>
    </row>
    <row r="27" spans="3:20" x14ac:dyDescent="0.25">
      <c r="N27" s="18"/>
      <c r="O27" s="19"/>
      <c r="P27" s="20"/>
      <c r="R27" s="18"/>
      <c r="S27" s="19"/>
      <c r="T27" s="20"/>
    </row>
    <row r="28" spans="3:20" x14ac:dyDescent="0.25">
      <c r="J28" s="24" t="s">
        <v>320</v>
      </c>
      <c r="K28" t="s">
        <v>326</v>
      </c>
      <c r="N28" s="18"/>
      <c r="O28" s="19"/>
      <c r="P28" s="20"/>
      <c r="R28" s="18"/>
      <c r="S28" s="19"/>
      <c r="T28" s="20"/>
    </row>
    <row r="29" spans="3:20" x14ac:dyDescent="0.25">
      <c r="J29" s="25" t="s">
        <v>20</v>
      </c>
      <c r="K29" s="26">
        <v>444</v>
      </c>
      <c r="N29" s="18"/>
      <c r="O29" s="19"/>
      <c r="P29" s="20"/>
      <c r="R29" s="18"/>
      <c r="S29" s="19"/>
      <c r="T29" s="20"/>
    </row>
    <row r="30" spans="3:20" x14ac:dyDescent="0.25">
      <c r="J30" s="25" t="s">
        <v>24</v>
      </c>
      <c r="K30" s="26">
        <v>1801</v>
      </c>
      <c r="N30" s="18"/>
      <c r="O30" s="19"/>
      <c r="P30" s="20"/>
      <c r="R30" s="21"/>
      <c r="S30" s="22"/>
      <c r="T30" s="23"/>
    </row>
    <row r="31" spans="3:20" x14ac:dyDescent="0.25">
      <c r="C31" s="24" t="s">
        <v>314</v>
      </c>
      <c r="D31" t="s">
        <v>322</v>
      </c>
      <c r="G31" s="12">
        <f>GETPIVOTDATA("Minecraft Season Pass Price",$C$33)</f>
        <v>3880</v>
      </c>
      <c r="J31" s="25" t="s">
        <v>16</v>
      </c>
      <c r="K31" s="26">
        <v>5388</v>
      </c>
      <c r="N31" s="18"/>
      <c r="O31" s="19"/>
      <c r="P31" s="20"/>
    </row>
    <row r="32" spans="3:20" x14ac:dyDescent="0.25">
      <c r="J32" s="25" t="s">
        <v>321</v>
      </c>
      <c r="K32" s="26">
        <v>7633</v>
      </c>
      <c r="N32" s="18"/>
      <c r="O32" s="19"/>
      <c r="P32" s="20"/>
    </row>
    <row r="33" spans="3:16" x14ac:dyDescent="0.25">
      <c r="C33" s="24" t="s">
        <v>320</v>
      </c>
      <c r="D33" t="s">
        <v>324</v>
      </c>
      <c r="N33" s="18"/>
      <c r="O33" s="19"/>
      <c r="P33" s="20"/>
    </row>
    <row r="34" spans="3:16" x14ac:dyDescent="0.25">
      <c r="C34" s="25" t="s">
        <v>20</v>
      </c>
      <c r="D34" s="26">
        <v>0</v>
      </c>
      <c r="N34" s="18"/>
      <c r="O34" s="19"/>
      <c r="P34" s="20"/>
    </row>
    <row r="35" spans="3:16" x14ac:dyDescent="0.25">
      <c r="C35" s="25" t="s">
        <v>24</v>
      </c>
      <c r="D35" s="26">
        <v>1920</v>
      </c>
      <c r="G35" s="12">
        <v>6512</v>
      </c>
      <c r="N35" s="18"/>
      <c r="O35" s="19"/>
      <c r="P35" s="20"/>
    </row>
    <row r="36" spans="3:16" x14ac:dyDescent="0.25">
      <c r="C36" s="25" t="s">
        <v>16</v>
      </c>
      <c r="D36" s="26">
        <v>1960</v>
      </c>
      <c r="M36" t="e">
        <f>GETPIVOTDATA("Coupon Value",$J$33)</f>
        <v>#REF!</v>
      </c>
      <c r="N36" s="18"/>
      <c r="O36" s="19"/>
      <c r="P36" s="20"/>
    </row>
    <row r="37" spans="3:16" x14ac:dyDescent="0.25">
      <c r="C37" s="25" t="s">
        <v>321</v>
      </c>
      <c r="D37" s="26">
        <v>3880</v>
      </c>
      <c r="N37" s="18"/>
      <c r="O37" s="19"/>
      <c r="P37" s="20"/>
    </row>
    <row r="38" spans="3:16" x14ac:dyDescent="0.25">
      <c r="N38" s="18"/>
      <c r="O38" s="19"/>
      <c r="P38" s="20"/>
    </row>
    <row r="39" spans="3:16" x14ac:dyDescent="0.25">
      <c r="N39" s="21"/>
      <c r="O39" s="22"/>
      <c r="P39" s="23"/>
    </row>
    <row r="48" spans="3:16" x14ac:dyDescent="0.25">
      <c r="D48" s="24" t="s">
        <v>314</v>
      </c>
      <c r="E48" t="s">
        <v>322</v>
      </c>
    </row>
    <row r="49" spans="4:7" x14ac:dyDescent="0.25">
      <c r="G49" s="12">
        <f>GETPIVOTDATA("Coupon Value",$D$50)</f>
        <v>2122</v>
      </c>
    </row>
    <row r="50" spans="4:7" x14ac:dyDescent="0.25">
      <c r="D50" t="s">
        <v>330</v>
      </c>
    </row>
    <row r="51" spans="4:7" x14ac:dyDescent="0.25">
      <c r="D51" s="26">
        <v>2122</v>
      </c>
    </row>
  </sheetData>
  <pageMargins left="0.511811024" right="0.511811024" top="0.78740157499999996" bottom="0.78740157499999996" header="0.31496062000000002" footer="0.31496062000000002"/>
  <pageSetup paperSize="9" orientation="portrait" r:id="rId8"/>
  <drawing r:id="rId9"/>
  <tableParts count="1"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9B75-2755-4DF3-BB73-C3079B1297E5}">
  <dimension ref="Q20:R21"/>
  <sheetViews>
    <sheetView topLeftCell="D1" workbookViewId="0">
      <selection activeCell="R26" sqref="R26"/>
    </sheetView>
  </sheetViews>
  <sheetFormatPr defaultRowHeight="15" x14ac:dyDescent="0.25"/>
  <cols>
    <col min="17" max="17" width="14.28515625" bestFit="1" customWidth="1"/>
    <col min="18" max="18" width="30.42578125" bestFit="1" customWidth="1"/>
  </cols>
  <sheetData>
    <row r="20" spans="17:18" x14ac:dyDescent="0.25">
      <c r="Q20" t="s">
        <v>335</v>
      </c>
      <c r="R20" t="s">
        <v>334</v>
      </c>
    </row>
    <row r="21" spans="17:18" x14ac:dyDescent="0.25">
      <c r="Q21" s="26">
        <v>7633</v>
      </c>
      <c r="R21" s="26">
        <v>6512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K370"/>
  <sheetViews>
    <sheetView showGridLines="0" showRowColHeaders="0" tabSelected="1" zoomScale="70" zoomScaleNormal="70" workbookViewId="0">
      <selection activeCell="AF38" sqref="AF38"/>
    </sheetView>
  </sheetViews>
  <sheetFormatPr defaultColWidth="0" defaultRowHeight="15" x14ac:dyDescent="0.25"/>
  <cols>
    <col min="1" max="1" width="27.5703125" style="5" customWidth="1"/>
    <col min="2" max="2" width="3.5703125" customWidth="1"/>
    <col min="3" max="11" width="9.140625" customWidth="1"/>
    <col min="12" max="12" width="6.5703125" customWidth="1"/>
    <col min="13" max="37" width="9.140625" customWidth="1"/>
    <col min="38" max="16384" width="9.140625" hidden="1"/>
  </cols>
  <sheetData>
    <row r="2" spans="1:37" ht="75" customHeight="1" thickBot="1" x14ac:dyDescent="0.5">
      <c r="C2" s="13" t="s">
        <v>313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spans="1:37" ht="75" customHeight="1" thickTop="1" x14ac:dyDescent="0.3">
      <c r="A3" s="29"/>
    </row>
    <row r="4" spans="1:37" ht="8.2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 ht="7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37" ht="10.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spans="1:37" ht="9.7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spans="1:37" ht="33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spans="1:37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7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1:37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1:37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spans="1:37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spans="1:37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spans="1:37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spans="1:37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spans="2:37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spans="2:37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2:37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spans="2:37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spans="2:37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spans="2:37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2:37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spans="2:37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spans="2:37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2:37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spans="2:37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spans="2:37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spans="2:37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spans="2:37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spans="2:37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spans="2:37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spans="2:37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spans="2:37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pans="2:37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spans="2:37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spans="2:37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spans="2:37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spans="2:37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spans="2:37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spans="2:37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spans="2:37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spans="2:37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spans="2:37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spans="2:37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spans="2:37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spans="2:37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spans="2:37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spans="2:37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spans="2:37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spans="2:37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spans="2:37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spans="2:37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spans="2:37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spans="2:37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spans="2:37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spans="2:37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spans="2:37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spans="2:37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2:37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spans="2:37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spans="2:37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spans="2:37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spans="2:37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spans="2:37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spans="2:37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spans="2:37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spans="2:37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spans="2:37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spans="2:37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spans="2:37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spans="2:37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spans="2:37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spans="2:37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spans="2:37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spans="2:37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spans="2:37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spans="2:37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spans="2:37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spans="2:37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spans="2:37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spans="2:37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spans="2:37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spans="2:37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spans="2:37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spans="2:37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spans="2:37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spans="2:37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spans="2:37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spans="2:37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spans="2:37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spans="2:37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spans="2:37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spans="2:37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spans="2:37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spans="2:37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spans="2:37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spans="2:37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spans="2:37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spans="2:37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spans="2:37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spans="2:37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spans="2:37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spans="2:37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spans="2:37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spans="2:37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spans="2:37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spans="2:37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spans="2:37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spans="2:37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spans="2:37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spans="2:37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spans="2:37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spans="2:37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spans="2:37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spans="2:37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spans="2:37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spans="2:37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spans="2:37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spans="2:37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spans="2:37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spans="2:37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spans="2:37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spans="2:37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spans="2:37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spans="2:37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spans="2:37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spans="2:37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spans="2:37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spans="2:37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spans="2:37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spans="2:37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spans="2:37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spans="2:37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spans="2:37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spans="2:37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spans="2:37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spans="2:37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spans="2:37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spans="2:37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spans="2:37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spans="2:37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spans="2:37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spans="2:37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spans="2:37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spans="2:37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spans="2:37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spans="2:37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spans="2:37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spans="2:37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spans="2:37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spans="2:37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spans="2:37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spans="2:37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spans="2:37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spans="2:37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spans="2:37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spans="2:37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spans="2:37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spans="2:37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spans="2:37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spans="2:37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spans="2:37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spans="2:37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spans="2:37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spans="2:37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spans="2:37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spans="2:37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spans="2:37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spans="2:37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spans="2:37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spans="2:37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spans="2:37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spans="2:37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spans="2:37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spans="2:37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spans="2:37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spans="2:37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spans="2:37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spans="2:37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spans="2:37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spans="2:37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spans="2:37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spans="2:37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spans="2:37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spans="2:37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spans="2:37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spans="2:37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spans="2:37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spans="2:37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spans="2:37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spans="2:37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spans="2:37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spans="2:37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spans="2:37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spans="2:37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spans="2:37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spans="2:37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spans="2:37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spans="2:37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spans="2:37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spans="2:37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spans="2:37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spans="2:37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spans="2:37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spans="2:37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spans="2:37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spans="2:37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spans="2:37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spans="2:37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spans="2:37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spans="2:37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spans="2:37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spans="2:37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spans="2:37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spans="2:37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spans="2:37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spans="2:37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spans="2:37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spans="2:37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spans="2:37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spans="2:37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spans="2:37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spans="2:37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spans="2:37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spans="2:37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spans="2:37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spans="2:37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spans="2:37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spans="2:37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spans="2:37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spans="2:37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spans="2:37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spans="2:37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spans="2:37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spans="2:37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spans="2:37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spans="2:37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spans="2:37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spans="2:37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spans="2:37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spans="2:37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spans="2:37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spans="2:37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spans="2:37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spans="2:37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spans="2:37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spans="2:37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spans="2:37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spans="2:37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spans="2:37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spans="2:37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spans="2:37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spans="2:37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spans="2:37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spans="2:37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spans="2:37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spans="2:37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spans="2:37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spans="2:37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spans="2:37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spans="2:37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spans="2:37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spans="2:37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spans="2:37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spans="2:37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spans="2:37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spans="2:37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spans="2:37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spans="2:37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spans="2:37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spans="2:37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spans="2:37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spans="2:37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spans="2:37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spans="2:37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spans="2:37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spans="2:37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spans="2:37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spans="2:37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spans="2:37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spans="2:37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spans="2:37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spans="2:37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spans="2:37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spans="2:37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spans="2:37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spans="2:37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spans="2:37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spans="2:37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spans="2:37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spans="2:37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spans="2:37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spans="2:37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spans="2:37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spans="2:37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spans="2:37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spans="2:37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spans="2:37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spans="2:37" x14ac:dyDescent="0.25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spans="2:37" x14ac:dyDescent="0.25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spans="2:37" x14ac:dyDescent="0.25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spans="2:37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spans="2:37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spans="2:37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spans="2:37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spans="2:37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spans="2:37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spans="2:37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spans="2:37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spans="2:37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spans="2:37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spans="2:37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spans="2:37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spans="2:37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spans="2:37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spans="2:37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spans="2:37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spans="2:37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spans="2:37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spans="2:37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spans="2:37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spans="2:37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spans="2:37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spans="2:37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spans="2:37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spans="2:37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spans="2:37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spans="2:37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spans="2:37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spans="2:37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spans="2:37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spans="2:37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spans="2:37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spans="2:37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spans="2:37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spans="2:37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spans="2:37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spans="2:37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spans="2:37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spans="2:37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spans="2:37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spans="2:37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spans="2:37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spans="2:37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spans="2:37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spans="2:37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spans="2:37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spans="2:37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spans="2:37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spans="2:37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spans="2:37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spans="2:37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spans="2:37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spans="2:37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spans="2:37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spans="2:37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spans="2:37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spans="2:37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spans="2:37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</row>
    <row r="361" spans="2:37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</row>
    <row r="362" spans="2:37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</row>
    <row r="363" spans="2:37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</row>
    <row r="364" spans="2:37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</row>
    <row r="365" spans="2:37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</row>
    <row r="366" spans="2:37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</row>
    <row r="367" spans="2:37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</row>
    <row r="368" spans="2:37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</row>
    <row r="369" spans="2:37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</row>
    <row r="370" spans="2:37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AE0E-817C-414C-8A32-7F3AF4FFF55B}">
  <dimension ref="A1:M296"/>
  <sheetViews>
    <sheetView workbookViewId="0">
      <selection sqref="A1:M296"/>
    </sheetView>
  </sheetViews>
  <sheetFormatPr defaultRowHeight="15" x14ac:dyDescent="0.25"/>
  <cols>
    <col min="1" max="1" width="15.5703125" bestFit="1" customWidth="1"/>
    <col min="2" max="2" width="18.85546875" bestFit="1" customWidth="1"/>
    <col min="3" max="3" width="9" bestFit="1" customWidth="1"/>
    <col min="4" max="4" width="15.5703125" bestFit="1" customWidth="1"/>
    <col min="5" max="5" width="17.85546875" bestFit="1" customWidth="1"/>
    <col min="6" max="6" width="21.140625" bestFit="1" customWidth="1"/>
    <col min="7" max="7" width="20" bestFit="1" customWidth="1"/>
    <col min="8" max="8" width="21.5703125" bestFit="1" customWidth="1"/>
    <col min="9" max="9" width="9.85546875" bestFit="1" customWidth="1"/>
    <col min="10" max="10" width="23.85546875" bestFit="1" customWidth="1"/>
    <col min="11" max="11" width="29" bestFit="1" customWidth="1"/>
    <col min="12" max="12" width="16" bestFit="1" customWidth="1"/>
    <col min="13" max="13" width="13.140625" bestFit="1" customWidth="1"/>
  </cols>
  <sheetData>
    <row r="1" spans="1:13" ht="60" x14ac:dyDescent="0.25">
      <c r="A1" t="s">
        <v>11</v>
      </c>
      <c r="B1" t="s">
        <v>12</v>
      </c>
      <c r="C1" t="s">
        <v>13</v>
      </c>
      <c r="D1" t="s">
        <v>14</v>
      </c>
      <c r="E1" t="s">
        <v>318</v>
      </c>
      <c r="F1" t="s">
        <v>319</v>
      </c>
      <c r="G1" t="s">
        <v>314</v>
      </c>
      <c r="H1" t="s">
        <v>307</v>
      </c>
      <c r="I1" s="27" t="s">
        <v>308</v>
      </c>
      <c r="J1" t="s">
        <v>28</v>
      </c>
      <c r="K1" t="s">
        <v>29</v>
      </c>
      <c r="L1" t="s">
        <v>30</v>
      </c>
      <c r="M1" t="s">
        <v>31</v>
      </c>
    </row>
    <row r="2" spans="1:13" x14ac:dyDescent="0.25">
      <c r="A2">
        <v>3231</v>
      </c>
      <c r="B2" t="s">
        <v>15</v>
      </c>
      <c r="C2" t="s">
        <v>16</v>
      </c>
      <c r="D2" s="28">
        <v>45292</v>
      </c>
      <c r="E2" t="s">
        <v>328</v>
      </c>
      <c r="F2">
        <v>15</v>
      </c>
      <c r="G2" t="s">
        <v>316</v>
      </c>
      <c r="H2" t="s">
        <v>328</v>
      </c>
      <c r="I2">
        <v>30</v>
      </c>
      <c r="J2" t="s">
        <v>328</v>
      </c>
      <c r="K2">
        <v>20</v>
      </c>
      <c r="L2">
        <v>5</v>
      </c>
      <c r="M2">
        <v>60</v>
      </c>
    </row>
    <row r="3" spans="1:13" x14ac:dyDescent="0.25">
      <c r="A3">
        <v>3232</v>
      </c>
      <c r="B3" t="s">
        <v>19</v>
      </c>
      <c r="C3" t="s">
        <v>20</v>
      </c>
      <c r="D3" s="28">
        <v>45306</v>
      </c>
      <c r="E3" t="s">
        <v>327</v>
      </c>
      <c r="F3">
        <v>5</v>
      </c>
      <c r="G3" t="s">
        <v>315</v>
      </c>
      <c r="H3" t="s">
        <v>327</v>
      </c>
      <c r="I3" t="s">
        <v>309</v>
      </c>
      <c r="J3" t="s">
        <v>327</v>
      </c>
      <c r="K3">
        <v>0</v>
      </c>
      <c r="L3">
        <v>0</v>
      </c>
      <c r="M3">
        <v>5</v>
      </c>
    </row>
    <row r="4" spans="1:13" x14ac:dyDescent="0.25">
      <c r="A4">
        <v>3233</v>
      </c>
      <c r="B4" t="s">
        <v>23</v>
      </c>
      <c r="C4" t="s">
        <v>24</v>
      </c>
      <c r="D4" s="28">
        <v>45332</v>
      </c>
      <c r="E4" t="s">
        <v>328</v>
      </c>
      <c r="F4">
        <v>10</v>
      </c>
      <c r="G4" t="s">
        <v>317</v>
      </c>
      <c r="H4" t="s">
        <v>327</v>
      </c>
      <c r="I4" t="s">
        <v>309</v>
      </c>
      <c r="J4" t="s">
        <v>328</v>
      </c>
      <c r="K4">
        <v>20</v>
      </c>
      <c r="L4">
        <v>10</v>
      </c>
      <c r="M4">
        <v>20</v>
      </c>
    </row>
    <row r="5" spans="1:13" x14ac:dyDescent="0.25">
      <c r="A5">
        <v>3234</v>
      </c>
      <c r="B5" t="s">
        <v>26</v>
      </c>
      <c r="C5" t="s">
        <v>16</v>
      </c>
      <c r="D5" s="28">
        <v>45342</v>
      </c>
      <c r="E5" t="s">
        <v>327</v>
      </c>
      <c r="F5">
        <v>15</v>
      </c>
      <c r="G5" t="s">
        <v>316</v>
      </c>
      <c r="H5" t="s">
        <v>328</v>
      </c>
      <c r="I5">
        <v>30</v>
      </c>
      <c r="J5" t="s">
        <v>328</v>
      </c>
      <c r="K5">
        <v>20</v>
      </c>
      <c r="L5">
        <v>3</v>
      </c>
      <c r="M5">
        <v>62</v>
      </c>
    </row>
    <row r="6" spans="1:13" x14ac:dyDescent="0.25">
      <c r="A6">
        <v>3235</v>
      </c>
      <c r="B6" t="s">
        <v>27</v>
      </c>
      <c r="C6" t="s">
        <v>20</v>
      </c>
      <c r="D6" s="28">
        <v>45356</v>
      </c>
      <c r="E6" t="s">
        <v>328</v>
      </c>
      <c r="F6">
        <v>5</v>
      </c>
      <c r="G6" t="s">
        <v>316</v>
      </c>
      <c r="H6" t="s">
        <v>327</v>
      </c>
      <c r="I6" t="s">
        <v>309</v>
      </c>
      <c r="J6" t="s">
        <v>327</v>
      </c>
      <c r="K6">
        <v>0</v>
      </c>
      <c r="L6">
        <v>1</v>
      </c>
      <c r="M6">
        <v>4</v>
      </c>
    </row>
    <row r="7" spans="1:13" x14ac:dyDescent="0.25">
      <c r="A7">
        <v>3236</v>
      </c>
      <c r="B7" t="s">
        <v>32</v>
      </c>
      <c r="C7" t="s">
        <v>24</v>
      </c>
      <c r="D7" s="28">
        <v>45353</v>
      </c>
      <c r="E7" t="s">
        <v>327</v>
      </c>
      <c r="F7">
        <v>10</v>
      </c>
      <c r="G7" t="s">
        <v>316</v>
      </c>
      <c r="H7" t="s">
        <v>327</v>
      </c>
      <c r="I7" t="s">
        <v>309</v>
      </c>
      <c r="J7" t="s">
        <v>328</v>
      </c>
      <c r="K7">
        <v>20</v>
      </c>
      <c r="L7">
        <v>2</v>
      </c>
      <c r="M7">
        <v>28</v>
      </c>
    </row>
    <row r="8" spans="1:13" x14ac:dyDescent="0.25">
      <c r="A8">
        <v>3237</v>
      </c>
      <c r="B8" t="s">
        <v>33</v>
      </c>
      <c r="C8" t="s">
        <v>16</v>
      </c>
      <c r="D8" s="28">
        <v>45354</v>
      </c>
      <c r="E8" t="s">
        <v>328</v>
      </c>
      <c r="F8">
        <v>15</v>
      </c>
      <c r="G8" t="s">
        <v>317</v>
      </c>
      <c r="H8" t="s">
        <v>328</v>
      </c>
      <c r="I8">
        <v>30</v>
      </c>
      <c r="J8" t="s">
        <v>328</v>
      </c>
      <c r="K8">
        <v>20</v>
      </c>
      <c r="L8">
        <v>10</v>
      </c>
      <c r="M8">
        <v>55</v>
      </c>
    </row>
    <row r="9" spans="1:13" x14ac:dyDescent="0.25">
      <c r="A9">
        <v>3238</v>
      </c>
      <c r="B9" t="s">
        <v>34</v>
      </c>
      <c r="C9" t="s">
        <v>20</v>
      </c>
      <c r="D9" s="28">
        <v>45355</v>
      </c>
      <c r="E9" t="s">
        <v>328</v>
      </c>
      <c r="F9">
        <v>5</v>
      </c>
      <c r="G9" t="s">
        <v>315</v>
      </c>
      <c r="H9" t="s">
        <v>327</v>
      </c>
      <c r="I9" t="s">
        <v>309</v>
      </c>
      <c r="J9" t="s">
        <v>327</v>
      </c>
      <c r="K9">
        <v>0</v>
      </c>
      <c r="L9">
        <v>0</v>
      </c>
      <c r="M9">
        <v>5</v>
      </c>
    </row>
    <row r="10" spans="1:13" x14ac:dyDescent="0.25">
      <c r="A10">
        <v>3239</v>
      </c>
      <c r="B10" t="s">
        <v>35</v>
      </c>
      <c r="C10" t="s">
        <v>16</v>
      </c>
      <c r="D10" s="28">
        <v>45356</v>
      </c>
      <c r="E10" t="s">
        <v>327</v>
      </c>
      <c r="F10">
        <v>15</v>
      </c>
      <c r="G10" t="s">
        <v>316</v>
      </c>
      <c r="H10" t="s">
        <v>328</v>
      </c>
      <c r="I10">
        <v>30</v>
      </c>
      <c r="J10" t="s">
        <v>328</v>
      </c>
      <c r="K10">
        <v>20</v>
      </c>
      <c r="L10">
        <v>5</v>
      </c>
      <c r="M10">
        <v>60</v>
      </c>
    </row>
    <row r="11" spans="1:13" x14ac:dyDescent="0.25">
      <c r="A11">
        <v>3240</v>
      </c>
      <c r="B11" t="s">
        <v>36</v>
      </c>
      <c r="C11" t="s">
        <v>24</v>
      </c>
      <c r="D11" s="28">
        <v>45357</v>
      </c>
      <c r="E11" t="s">
        <v>328</v>
      </c>
      <c r="F11">
        <v>10</v>
      </c>
      <c r="G11" t="s">
        <v>317</v>
      </c>
      <c r="H11" t="s">
        <v>327</v>
      </c>
      <c r="I11" t="s">
        <v>309</v>
      </c>
      <c r="J11" t="s">
        <v>328</v>
      </c>
      <c r="K11">
        <v>20</v>
      </c>
      <c r="L11">
        <v>15</v>
      </c>
      <c r="M11">
        <v>15</v>
      </c>
    </row>
    <row r="12" spans="1:13" x14ac:dyDescent="0.25">
      <c r="A12">
        <v>3241</v>
      </c>
      <c r="B12" t="s">
        <v>37</v>
      </c>
      <c r="C12" t="s">
        <v>20</v>
      </c>
      <c r="D12" s="28">
        <v>45358</v>
      </c>
      <c r="E12" t="s">
        <v>327</v>
      </c>
      <c r="F12">
        <v>5</v>
      </c>
      <c r="G12" t="s">
        <v>316</v>
      </c>
      <c r="H12" t="s">
        <v>327</v>
      </c>
      <c r="I12" t="s">
        <v>309</v>
      </c>
      <c r="J12" t="s">
        <v>327</v>
      </c>
      <c r="K12">
        <v>0</v>
      </c>
      <c r="L12">
        <v>1</v>
      </c>
      <c r="M12">
        <v>4</v>
      </c>
    </row>
    <row r="13" spans="1:13" x14ac:dyDescent="0.25">
      <c r="A13">
        <v>3242</v>
      </c>
      <c r="B13" t="s">
        <v>38</v>
      </c>
      <c r="C13" t="s">
        <v>16</v>
      </c>
      <c r="D13" s="28">
        <v>45359</v>
      </c>
      <c r="E13" t="s">
        <v>328</v>
      </c>
      <c r="F13">
        <v>15</v>
      </c>
      <c r="G13" t="s">
        <v>315</v>
      </c>
      <c r="H13" t="s">
        <v>328</v>
      </c>
      <c r="I13">
        <v>30</v>
      </c>
      <c r="J13" t="s">
        <v>328</v>
      </c>
      <c r="K13">
        <v>20</v>
      </c>
      <c r="L13">
        <v>20</v>
      </c>
      <c r="M13">
        <v>45</v>
      </c>
    </row>
    <row r="14" spans="1:13" x14ac:dyDescent="0.25">
      <c r="A14">
        <v>3243</v>
      </c>
      <c r="B14" t="s">
        <v>39</v>
      </c>
      <c r="C14" t="s">
        <v>24</v>
      </c>
      <c r="D14" s="28">
        <v>45360</v>
      </c>
      <c r="E14" t="s">
        <v>327</v>
      </c>
      <c r="F14">
        <v>10</v>
      </c>
      <c r="G14" t="s">
        <v>316</v>
      </c>
      <c r="H14" t="s">
        <v>327</v>
      </c>
      <c r="I14" t="s">
        <v>309</v>
      </c>
      <c r="J14" t="s">
        <v>328</v>
      </c>
      <c r="K14">
        <v>20</v>
      </c>
      <c r="L14">
        <v>10</v>
      </c>
      <c r="M14">
        <v>20</v>
      </c>
    </row>
    <row r="15" spans="1:13" x14ac:dyDescent="0.25">
      <c r="A15">
        <v>3244</v>
      </c>
      <c r="B15" t="s">
        <v>40</v>
      </c>
      <c r="C15" t="s">
        <v>20</v>
      </c>
      <c r="D15" s="28">
        <v>45361</v>
      </c>
      <c r="E15" t="s">
        <v>328</v>
      </c>
      <c r="F15">
        <v>5</v>
      </c>
      <c r="G15" t="s">
        <v>317</v>
      </c>
      <c r="H15" t="s">
        <v>327</v>
      </c>
      <c r="I15" t="s">
        <v>309</v>
      </c>
      <c r="J15" t="s">
        <v>327</v>
      </c>
      <c r="K15">
        <v>0</v>
      </c>
      <c r="L15">
        <v>0</v>
      </c>
      <c r="M15">
        <v>5</v>
      </c>
    </row>
    <row r="16" spans="1:13" x14ac:dyDescent="0.25">
      <c r="A16">
        <v>3245</v>
      </c>
      <c r="B16" t="s">
        <v>41</v>
      </c>
      <c r="C16" t="s">
        <v>16</v>
      </c>
      <c r="D16" s="28">
        <v>45362</v>
      </c>
      <c r="E16" t="s">
        <v>327</v>
      </c>
      <c r="F16">
        <v>15</v>
      </c>
      <c r="G16" t="s">
        <v>316</v>
      </c>
      <c r="H16" t="s">
        <v>328</v>
      </c>
      <c r="I16">
        <v>30</v>
      </c>
      <c r="J16" t="s">
        <v>328</v>
      </c>
      <c r="K16">
        <v>20</v>
      </c>
      <c r="L16">
        <v>8</v>
      </c>
      <c r="M16">
        <v>57</v>
      </c>
    </row>
    <row r="17" spans="1:13" x14ac:dyDescent="0.25">
      <c r="A17">
        <v>3246</v>
      </c>
      <c r="B17" t="s">
        <v>42</v>
      </c>
      <c r="C17" t="s">
        <v>24</v>
      </c>
      <c r="D17" s="28">
        <v>45363</v>
      </c>
      <c r="E17" t="s">
        <v>328</v>
      </c>
      <c r="F17">
        <v>10</v>
      </c>
      <c r="G17" t="s">
        <v>315</v>
      </c>
      <c r="H17" t="s">
        <v>327</v>
      </c>
      <c r="I17" t="s">
        <v>309</v>
      </c>
      <c r="J17" t="s">
        <v>328</v>
      </c>
      <c r="K17">
        <v>20</v>
      </c>
      <c r="L17">
        <v>12</v>
      </c>
      <c r="M17">
        <v>18</v>
      </c>
    </row>
    <row r="18" spans="1:13" x14ac:dyDescent="0.25">
      <c r="A18">
        <v>3247</v>
      </c>
      <c r="B18" t="s">
        <v>43</v>
      </c>
      <c r="C18" t="s">
        <v>20</v>
      </c>
      <c r="D18" s="28">
        <v>45364</v>
      </c>
      <c r="E18" t="s">
        <v>327</v>
      </c>
      <c r="F18">
        <v>5</v>
      </c>
      <c r="G18" t="s">
        <v>316</v>
      </c>
      <c r="H18" t="s">
        <v>327</v>
      </c>
      <c r="I18" t="s">
        <v>309</v>
      </c>
      <c r="J18" t="s">
        <v>327</v>
      </c>
      <c r="K18">
        <v>0</v>
      </c>
      <c r="L18">
        <v>2</v>
      </c>
      <c r="M18">
        <v>3</v>
      </c>
    </row>
    <row r="19" spans="1:13" x14ac:dyDescent="0.25">
      <c r="A19">
        <v>3248</v>
      </c>
      <c r="B19" t="s">
        <v>44</v>
      </c>
      <c r="C19" t="s">
        <v>16</v>
      </c>
      <c r="D19" s="28">
        <v>45365</v>
      </c>
      <c r="E19" t="s">
        <v>328</v>
      </c>
      <c r="F19">
        <v>15</v>
      </c>
      <c r="G19" t="s">
        <v>317</v>
      </c>
      <c r="H19" t="s">
        <v>328</v>
      </c>
      <c r="I19">
        <v>30</v>
      </c>
      <c r="J19" t="s">
        <v>328</v>
      </c>
      <c r="K19">
        <v>20</v>
      </c>
      <c r="L19">
        <v>7</v>
      </c>
      <c r="M19">
        <v>58</v>
      </c>
    </row>
    <row r="20" spans="1:13" x14ac:dyDescent="0.25">
      <c r="A20">
        <v>3249</v>
      </c>
      <c r="B20" t="s">
        <v>45</v>
      </c>
      <c r="C20" t="s">
        <v>24</v>
      </c>
      <c r="D20" s="28">
        <v>45366</v>
      </c>
      <c r="E20" t="s">
        <v>327</v>
      </c>
      <c r="F20">
        <v>10</v>
      </c>
      <c r="G20" t="s">
        <v>316</v>
      </c>
      <c r="H20" t="s">
        <v>327</v>
      </c>
      <c r="I20" t="s">
        <v>309</v>
      </c>
      <c r="J20" t="s">
        <v>328</v>
      </c>
      <c r="K20">
        <v>20</v>
      </c>
      <c r="L20">
        <v>5</v>
      </c>
      <c r="M20">
        <v>25</v>
      </c>
    </row>
    <row r="21" spans="1:13" x14ac:dyDescent="0.25">
      <c r="A21">
        <v>3250</v>
      </c>
      <c r="B21" t="s">
        <v>46</v>
      </c>
      <c r="C21" t="s">
        <v>20</v>
      </c>
      <c r="D21" s="28">
        <v>45367</v>
      </c>
      <c r="E21" t="s">
        <v>328</v>
      </c>
      <c r="F21">
        <v>5</v>
      </c>
      <c r="G21" t="s">
        <v>315</v>
      </c>
      <c r="H21" t="s">
        <v>327</v>
      </c>
      <c r="I21" t="s">
        <v>309</v>
      </c>
      <c r="J21" t="s">
        <v>327</v>
      </c>
      <c r="K21">
        <v>0</v>
      </c>
      <c r="L21">
        <v>0</v>
      </c>
      <c r="M21">
        <v>5</v>
      </c>
    </row>
    <row r="22" spans="1:13" x14ac:dyDescent="0.25">
      <c r="A22">
        <v>3251</v>
      </c>
      <c r="B22" t="s">
        <v>47</v>
      </c>
      <c r="C22" t="s">
        <v>16</v>
      </c>
      <c r="D22" s="28">
        <v>45368</v>
      </c>
      <c r="E22" t="s">
        <v>327</v>
      </c>
      <c r="F22">
        <v>15</v>
      </c>
      <c r="G22" t="s">
        <v>316</v>
      </c>
      <c r="H22" t="s">
        <v>328</v>
      </c>
      <c r="I22">
        <v>30</v>
      </c>
      <c r="J22" t="s">
        <v>328</v>
      </c>
      <c r="K22">
        <v>20</v>
      </c>
      <c r="L22">
        <v>3</v>
      </c>
      <c r="M22">
        <v>62</v>
      </c>
    </row>
    <row r="23" spans="1:13" x14ac:dyDescent="0.25">
      <c r="A23">
        <v>3252</v>
      </c>
      <c r="B23" t="s">
        <v>48</v>
      </c>
      <c r="C23" t="s">
        <v>24</v>
      </c>
      <c r="D23" s="28">
        <v>45369</v>
      </c>
      <c r="E23" t="s">
        <v>328</v>
      </c>
      <c r="F23">
        <v>10</v>
      </c>
      <c r="G23" t="s">
        <v>317</v>
      </c>
      <c r="H23" t="s">
        <v>327</v>
      </c>
      <c r="I23" t="s">
        <v>309</v>
      </c>
      <c r="J23" t="s">
        <v>328</v>
      </c>
      <c r="K23">
        <v>20</v>
      </c>
      <c r="L23">
        <v>15</v>
      </c>
      <c r="M23">
        <v>15</v>
      </c>
    </row>
    <row r="24" spans="1:13" x14ac:dyDescent="0.25">
      <c r="A24">
        <v>3253</v>
      </c>
      <c r="B24" t="s">
        <v>49</v>
      </c>
      <c r="C24" t="s">
        <v>20</v>
      </c>
      <c r="D24" s="28">
        <v>45370</v>
      </c>
      <c r="E24" t="s">
        <v>327</v>
      </c>
      <c r="F24">
        <v>5</v>
      </c>
      <c r="G24" t="s">
        <v>316</v>
      </c>
      <c r="H24" t="s">
        <v>327</v>
      </c>
      <c r="I24" t="s">
        <v>309</v>
      </c>
      <c r="J24" t="s">
        <v>327</v>
      </c>
      <c r="K24">
        <v>0</v>
      </c>
      <c r="L24">
        <v>1</v>
      </c>
      <c r="M24">
        <v>4</v>
      </c>
    </row>
    <row r="25" spans="1:13" x14ac:dyDescent="0.25">
      <c r="A25">
        <v>3254</v>
      </c>
      <c r="B25" t="s">
        <v>50</v>
      </c>
      <c r="C25" t="s">
        <v>16</v>
      </c>
      <c r="D25" s="28">
        <v>45371</v>
      </c>
      <c r="E25" t="s">
        <v>328</v>
      </c>
      <c r="F25">
        <v>15</v>
      </c>
      <c r="G25" t="s">
        <v>315</v>
      </c>
      <c r="H25" t="s">
        <v>328</v>
      </c>
      <c r="I25">
        <v>30</v>
      </c>
      <c r="J25" t="s">
        <v>328</v>
      </c>
      <c r="K25">
        <v>20</v>
      </c>
      <c r="L25">
        <v>20</v>
      </c>
      <c r="M25">
        <v>45</v>
      </c>
    </row>
    <row r="26" spans="1:13" x14ac:dyDescent="0.25">
      <c r="A26">
        <v>3255</v>
      </c>
      <c r="B26" t="s">
        <v>51</v>
      </c>
      <c r="C26" t="s">
        <v>24</v>
      </c>
      <c r="D26" s="28">
        <v>45372</v>
      </c>
      <c r="E26" t="s">
        <v>327</v>
      </c>
      <c r="F26">
        <v>10</v>
      </c>
      <c r="G26" t="s">
        <v>316</v>
      </c>
      <c r="H26" t="s">
        <v>327</v>
      </c>
      <c r="I26" t="s">
        <v>309</v>
      </c>
      <c r="J26" t="s">
        <v>328</v>
      </c>
      <c r="K26">
        <v>20</v>
      </c>
      <c r="L26">
        <v>10</v>
      </c>
      <c r="M26">
        <v>20</v>
      </c>
    </row>
    <row r="27" spans="1:13" x14ac:dyDescent="0.25">
      <c r="A27">
        <v>3256</v>
      </c>
      <c r="B27" t="s">
        <v>52</v>
      </c>
      <c r="C27" t="s">
        <v>20</v>
      </c>
      <c r="D27" s="28">
        <v>45373</v>
      </c>
      <c r="E27" t="s">
        <v>328</v>
      </c>
      <c r="F27">
        <v>5</v>
      </c>
      <c r="G27" t="s">
        <v>317</v>
      </c>
      <c r="H27" t="s">
        <v>327</v>
      </c>
      <c r="I27" t="s">
        <v>309</v>
      </c>
      <c r="J27" t="s">
        <v>327</v>
      </c>
      <c r="K27">
        <v>0</v>
      </c>
      <c r="L27">
        <v>0</v>
      </c>
      <c r="M27">
        <v>5</v>
      </c>
    </row>
    <row r="28" spans="1:13" x14ac:dyDescent="0.25">
      <c r="A28">
        <v>3257</v>
      </c>
      <c r="B28" t="s">
        <v>53</v>
      </c>
      <c r="C28" t="s">
        <v>16</v>
      </c>
      <c r="D28" s="28">
        <v>45374</v>
      </c>
      <c r="E28" t="s">
        <v>327</v>
      </c>
      <c r="F28">
        <v>15</v>
      </c>
      <c r="G28" t="s">
        <v>316</v>
      </c>
      <c r="H28" t="s">
        <v>328</v>
      </c>
      <c r="I28">
        <v>30</v>
      </c>
      <c r="J28" t="s">
        <v>328</v>
      </c>
      <c r="K28">
        <v>20</v>
      </c>
      <c r="L28">
        <v>5</v>
      </c>
      <c r="M28">
        <v>60</v>
      </c>
    </row>
    <row r="29" spans="1:13" x14ac:dyDescent="0.25">
      <c r="A29">
        <v>3258</v>
      </c>
      <c r="B29" t="s">
        <v>54</v>
      </c>
      <c r="C29" t="s">
        <v>24</v>
      </c>
      <c r="D29" s="28">
        <v>45375</v>
      </c>
      <c r="E29" t="s">
        <v>328</v>
      </c>
      <c r="F29">
        <v>10</v>
      </c>
      <c r="G29" t="s">
        <v>315</v>
      </c>
      <c r="H29" t="s">
        <v>327</v>
      </c>
      <c r="I29" t="s">
        <v>309</v>
      </c>
      <c r="J29" t="s">
        <v>328</v>
      </c>
      <c r="K29">
        <v>20</v>
      </c>
      <c r="L29">
        <v>15</v>
      </c>
      <c r="M29">
        <v>15</v>
      </c>
    </row>
    <row r="30" spans="1:13" x14ac:dyDescent="0.25">
      <c r="A30">
        <v>3259</v>
      </c>
      <c r="B30" t="s">
        <v>55</v>
      </c>
      <c r="C30" t="s">
        <v>20</v>
      </c>
      <c r="D30" s="28">
        <v>45376</v>
      </c>
      <c r="E30" t="s">
        <v>327</v>
      </c>
      <c r="F30">
        <v>5</v>
      </c>
      <c r="G30" t="s">
        <v>316</v>
      </c>
      <c r="H30" t="s">
        <v>327</v>
      </c>
      <c r="I30" t="s">
        <v>309</v>
      </c>
      <c r="J30" t="s">
        <v>327</v>
      </c>
      <c r="K30">
        <v>0</v>
      </c>
      <c r="L30">
        <v>1</v>
      </c>
      <c r="M30">
        <v>4</v>
      </c>
    </row>
    <row r="31" spans="1:13" x14ac:dyDescent="0.25">
      <c r="A31">
        <v>3260</v>
      </c>
      <c r="B31" t="s">
        <v>56</v>
      </c>
      <c r="C31" t="s">
        <v>16</v>
      </c>
      <c r="D31" s="28">
        <v>45377</v>
      </c>
      <c r="E31" t="s">
        <v>328</v>
      </c>
      <c r="F31">
        <v>15</v>
      </c>
      <c r="G31" t="s">
        <v>317</v>
      </c>
      <c r="H31" t="s">
        <v>328</v>
      </c>
      <c r="I31">
        <v>30</v>
      </c>
      <c r="J31" t="s">
        <v>328</v>
      </c>
      <c r="K31">
        <v>20</v>
      </c>
      <c r="L31">
        <v>7</v>
      </c>
      <c r="M31">
        <v>58</v>
      </c>
    </row>
    <row r="32" spans="1:13" x14ac:dyDescent="0.25">
      <c r="A32">
        <v>3261</v>
      </c>
      <c r="B32" t="s">
        <v>57</v>
      </c>
      <c r="C32" t="s">
        <v>24</v>
      </c>
      <c r="D32" s="28">
        <v>45378</v>
      </c>
      <c r="E32" t="s">
        <v>327</v>
      </c>
      <c r="F32">
        <v>10</v>
      </c>
      <c r="G32" t="s">
        <v>316</v>
      </c>
      <c r="H32" t="s">
        <v>327</v>
      </c>
      <c r="I32" t="s">
        <v>309</v>
      </c>
      <c r="J32" t="s">
        <v>328</v>
      </c>
      <c r="K32">
        <v>20</v>
      </c>
      <c r="L32">
        <v>10</v>
      </c>
      <c r="M32">
        <v>20</v>
      </c>
    </row>
    <row r="33" spans="1:13" x14ac:dyDescent="0.25">
      <c r="A33">
        <v>3262</v>
      </c>
      <c r="B33" t="s">
        <v>58</v>
      </c>
      <c r="C33" t="s">
        <v>20</v>
      </c>
      <c r="D33" s="28">
        <v>45379</v>
      </c>
      <c r="E33" t="s">
        <v>328</v>
      </c>
      <c r="F33">
        <v>5</v>
      </c>
      <c r="G33" t="s">
        <v>315</v>
      </c>
      <c r="H33" t="s">
        <v>327</v>
      </c>
      <c r="I33" t="s">
        <v>309</v>
      </c>
      <c r="J33" t="s">
        <v>327</v>
      </c>
      <c r="K33">
        <v>0</v>
      </c>
      <c r="L33">
        <v>0</v>
      </c>
      <c r="M33">
        <v>5</v>
      </c>
    </row>
    <row r="34" spans="1:13" x14ac:dyDescent="0.25">
      <c r="A34">
        <v>3263</v>
      </c>
      <c r="B34" t="s">
        <v>59</v>
      </c>
      <c r="C34" t="s">
        <v>16</v>
      </c>
      <c r="D34" s="28">
        <v>45380</v>
      </c>
      <c r="E34" t="s">
        <v>327</v>
      </c>
      <c r="F34">
        <v>15</v>
      </c>
      <c r="G34" t="s">
        <v>316</v>
      </c>
      <c r="H34" t="s">
        <v>328</v>
      </c>
      <c r="I34">
        <v>30</v>
      </c>
      <c r="J34" t="s">
        <v>328</v>
      </c>
      <c r="K34">
        <v>20</v>
      </c>
      <c r="L34">
        <v>3</v>
      </c>
      <c r="M34">
        <v>62</v>
      </c>
    </row>
    <row r="35" spans="1:13" x14ac:dyDescent="0.25">
      <c r="A35">
        <v>3264</v>
      </c>
      <c r="B35" t="s">
        <v>60</v>
      </c>
      <c r="C35" t="s">
        <v>24</v>
      </c>
      <c r="D35" s="28">
        <v>45381</v>
      </c>
      <c r="E35" t="s">
        <v>328</v>
      </c>
      <c r="F35">
        <v>10</v>
      </c>
      <c r="G35" t="s">
        <v>317</v>
      </c>
      <c r="H35" t="s">
        <v>327</v>
      </c>
      <c r="I35" t="s">
        <v>309</v>
      </c>
      <c r="J35" t="s">
        <v>328</v>
      </c>
      <c r="K35">
        <v>20</v>
      </c>
      <c r="L35">
        <v>15</v>
      </c>
      <c r="M35">
        <v>15</v>
      </c>
    </row>
    <row r="36" spans="1:13" x14ac:dyDescent="0.25">
      <c r="A36">
        <v>3265</v>
      </c>
      <c r="B36" t="s">
        <v>61</v>
      </c>
      <c r="C36" t="s">
        <v>20</v>
      </c>
      <c r="D36" s="28">
        <v>45382</v>
      </c>
      <c r="E36" t="s">
        <v>327</v>
      </c>
      <c r="F36">
        <v>5</v>
      </c>
      <c r="G36" t="s">
        <v>316</v>
      </c>
      <c r="H36" t="s">
        <v>327</v>
      </c>
      <c r="I36" t="s">
        <v>309</v>
      </c>
      <c r="J36" t="s">
        <v>327</v>
      </c>
      <c r="K36">
        <v>0</v>
      </c>
      <c r="L36">
        <v>1</v>
      </c>
      <c r="M36">
        <v>4</v>
      </c>
    </row>
    <row r="37" spans="1:13" x14ac:dyDescent="0.25">
      <c r="A37">
        <v>3266</v>
      </c>
      <c r="B37" t="s">
        <v>62</v>
      </c>
      <c r="C37" t="s">
        <v>20</v>
      </c>
      <c r="D37" s="28">
        <v>45383</v>
      </c>
      <c r="E37" t="s">
        <v>328</v>
      </c>
      <c r="F37">
        <v>5</v>
      </c>
      <c r="G37" t="s">
        <v>316</v>
      </c>
      <c r="H37" t="s">
        <v>327</v>
      </c>
      <c r="I37" t="s">
        <v>309</v>
      </c>
      <c r="J37" t="s">
        <v>327</v>
      </c>
      <c r="K37">
        <v>0</v>
      </c>
      <c r="L37">
        <v>0</v>
      </c>
      <c r="M37">
        <v>5</v>
      </c>
    </row>
    <row r="38" spans="1:13" x14ac:dyDescent="0.25">
      <c r="A38">
        <v>3267</v>
      </c>
      <c r="B38" t="s">
        <v>63</v>
      </c>
      <c r="C38" t="s">
        <v>16</v>
      </c>
      <c r="D38" s="28">
        <v>45384</v>
      </c>
      <c r="E38" t="s">
        <v>327</v>
      </c>
      <c r="F38">
        <v>15</v>
      </c>
      <c r="G38" t="s">
        <v>317</v>
      </c>
      <c r="H38" t="s">
        <v>328</v>
      </c>
      <c r="I38">
        <v>30</v>
      </c>
      <c r="J38" t="s">
        <v>328</v>
      </c>
      <c r="K38">
        <v>20</v>
      </c>
      <c r="L38">
        <v>7</v>
      </c>
      <c r="M38">
        <v>58</v>
      </c>
    </row>
    <row r="39" spans="1:13" x14ac:dyDescent="0.25">
      <c r="A39">
        <v>3268</v>
      </c>
      <c r="B39" t="s">
        <v>64</v>
      </c>
      <c r="C39" t="s">
        <v>24</v>
      </c>
      <c r="D39" s="28">
        <v>45385</v>
      </c>
      <c r="E39" t="s">
        <v>328</v>
      </c>
      <c r="F39">
        <v>10</v>
      </c>
      <c r="G39" t="s">
        <v>315</v>
      </c>
      <c r="H39" t="s">
        <v>327</v>
      </c>
      <c r="I39" t="s">
        <v>309</v>
      </c>
      <c r="J39" t="s">
        <v>328</v>
      </c>
      <c r="K39">
        <v>20</v>
      </c>
      <c r="L39">
        <v>10</v>
      </c>
      <c r="M39">
        <v>20</v>
      </c>
    </row>
    <row r="40" spans="1:13" x14ac:dyDescent="0.25">
      <c r="A40">
        <v>3269</v>
      </c>
      <c r="B40" t="s">
        <v>65</v>
      </c>
      <c r="C40" t="s">
        <v>20</v>
      </c>
      <c r="D40" s="28">
        <v>45386</v>
      </c>
      <c r="E40" t="s">
        <v>327</v>
      </c>
      <c r="F40">
        <v>5</v>
      </c>
      <c r="G40" t="s">
        <v>317</v>
      </c>
      <c r="H40" t="s">
        <v>327</v>
      </c>
      <c r="I40" t="s">
        <v>309</v>
      </c>
      <c r="J40" t="s">
        <v>327</v>
      </c>
      <c r="K40">
        <v>0</v>
      </c>
      <c r="L40">
        <v>1</v>
      </c>
      <c r="M40">
        <v>4</v>
      </c>
    </row>
    <row r="41" spans="1:13" x14ac:dyDescent="0.25">
      <c r="A41">
        <v>3270</v>
      </c>
      <c r="B41" t="s">
        <v>66</v>
      </c>
      <c r="C41" t="s">
        <v>16</v>
      </c>
      <c r="D41" s="28">
        <v>45387</v>
      </c>
      <c r="E41" t="s">
        <v>328</v>
      </c>
      <c r="F41">
        <v>15</v>
      </c>
      <c r="G41" t="s">
        <v>316</v>
      </c>
      <c r="H41" t="s">
        <v>328</v>
      </c>
      <c r="I41">
        <v>30</v>
      </c>
      <c r="J41" t="s">
        <v>328</v>
      </c>
      <c r="K41">
        <v>20</v>
      </c>
      <c r="L41">
        <v>15</v>
      </c>
      <c r="M41">
        <v>50</v>
      </c>
    </row>
    <row r="42" spans="1:13" x14ac:dyDescent="0.25">
      <c r="A42">
        <v>3271</v>
      </c>
      <c r="B42" t="s">
        <v>67</v>
      </c>
      <c r="C42" t="s">
        <v>24</v>
      </c>
      <c r="D42" s="28">
        <v>45388</v>
      </c>
      <c r="E42" t="s">
        <v>327</v>
      </c>
      <c r="F42">
        <v>10</v>
      </c>
      <c r="G42" t="s">
        <v>316</v>
      </c>
      <c r="H42" t="s">
        <v>327</v>
      </c>
      <c r="I42" t="s">
        <v>309</v>
      </c>
      <c r="J42" t="s">
        <v>328</v>
      </c>
      <c r="K42">
        <v>20</v>
      </c>
      <c r="L42">
        <v>5</v>
      </c>
      <c r="M42">
        <v>25</v>
      </c>
    </row>
    <row r="43" spans="1:13" x14ac:dyDescent="0.25">
      <c r="A43">
        <v>3272</v>
      </c>
      <c r="B43" t="s">
        <v>68</v>
      </c>
      <c r="C43" t="s">
        <v>20</v>
      </c>
      <c r="D43" s="28">
        <v>45389</v>
      </c>
      <c r="E43" t="s">
        <v>328</v>
      </c>
      <c r="F43">
        <v>5</v>
      </c>
      <c r="G43" t="s">
        <v>315</v>
      </c>
      <c r="H43" t="s">
        <v>327</v>
      </c>
      <c r="I43" t="s">
        <v>309</v>
      </c>
      <c r="J43" t="s">
        <v>327</v>
      </c>
      <c r="K43">
        <v>0</v>
      </c>
      <c r="L43">
        <v>0</v>
      </c>
      <c r="M43">
        <v>5</v>
      </c>
    </row>
    <row r="44" spans="1:13" x14ac:dyDescent="0.25">
      <c r="A44">
        <v>3273</v>
      </c>
      <c r="B44" t="s">
        <v>69</v>
      </c>
      <c r="C44" t="s">
        <v>16</v>
      </c>
      <c r="D44" s="28">
        <v>45390</v>
      </c>
      <c r="E44" t="s">
        <v>327</v>
      </c>
      <c r="F44">
        <v>15</v>
      </c>
      <c r="G44" t="s">
        <v>317</v>
      </c>
      <c r="H44" t="s">
        <v>328</v>
      </c>
      <c r="I44">
        <v>30</v>
      </c>
      <c r="J44" t="s">
        <v>328</v>
      </c>
      <c r="K44">
        <v>20</v>
      </c>
      <c r="L44">
        <v>20</v>
      </c>
      <c r="M44">
        <v>45</v>
      </c>
    </row>
    <row r="45" spans="1:13" x14ac:dyDescent="0.25">
      <c r="A45">
        <v>3274</v>
      </c>
      <c r="B45" t="s">
        <v>70</v>
      </c>
      <c r="C45" t="s">
        <v>24</v>
      </c>
      <c r="D45" s="28">
        <v>45391</v>
      </c>
      <c r="E45" t="s">
        <v>328</v>
      </c>
      <c r="F45">
        <v>10</v>
      </c>
      <c r="G45" t="s">
        <v>317</v>
      </c>
      <c r="H45" t="s">
        <v>327</v>
      </c>
      <c r="I45" t="s">
        <v>309</v>
      </c>
      <c r="J45" t="s">
        <v>328</v>
      </c>
      <c r="K45">
        <v>20</v>
      </c>
      <c r="L45">
        <v>12</v>
      </c>
      <c r="M45">
        <v>18</v>
      </c>
    </row>
    <row r="46" spans="1:13" x14ac:dyDescent="0.25">
      <c r="A46">
        <v>3275</v>
      </c>
      <c r="B46" t="s">
        <v>71</v>
      </c>
      <c r="C46" t="s">
        <v>20</v>
      </c>
      <c r="D46" s="28">
        <v>45392</v>
      </c>
      <c r="E46" t="s">
        <v>327</v>
      </c>
      <c r="F46">
        <v>5</v>
      </c>
      <c r="G46" t="s">
        <v>316</v>
      </c>
      <c r="H46" t="s">
        <v>327</v>
      </c>
      <c r="I46" t="s">
        <v>309</v>
      </c>
      <c r="J46" t="s">
        <v>327</v>
      </c>
      <c r="K46">
        <v>0</v>
      </c>
      <c r="L46">
        <v>2</v>
      </c>
      <c r="M46">
        <v>3</v>
      </c>
    </row>
    <row r="47" spans="1:13" x14ac:dyDescent="0.25">
      <c r="A47">
        <v>3276</v>
      </c>
      <c r="B47" t="s">
        <v>72</v>
      </c>
      <c r="C47" t="s">
        <v>16</v>
      </c>
      <c r="D47" s="28">
        <v>45393</v>
      </c>
      <c r="E47" t="s">
        <v>328</v>
      </c>
      <c r="F47">
        <v>15</v>
      </c>
      <c r="G47" t="s">
        <v>315</v>
      </c>
      <c r="H47" t="s">
        <v>328</v>
      </c>
      <c r="I47">
        <v>30</v>
      </c>
      <c r="J47" t="s">
        <v>328</v>
      </c>
      <c r="K47">
        <v>20</v>
      </c>
      <c r="L47">
        <v>5</v>
      </c>
      <c r="M47">
        <v>60</v>
      </c>
    </row>
    <row r="48" spans="1:13" x14ac:dyDescent="0.25">
      <c r="A48">
        <v>3277</v>
      </c>
      <c r="B48" t="s">
        <v>73</v>
      </c>
      <c r="C48" t="s">
        <v>24</v>
      </c>
      <c r="D48" s="28">
        <v>45394</v>
      </c>
      <c r="E48" t="s">
        <v>327</v>
      </c>
      <c r="F48">
        <v>10</v>
      </c>
      <c r="G48" t="s">
        <v>316</v>
      </c>
      <c r="H48" t="s">
        <v>327</v>
      </c>
      <c r="I48" t="s">
        <v>309</v>
      </c>
      <c r="J48" t="s">
        <v>328</v>
      </c>
      <c r="K48">
        <v>20</v>
      </c>
      <c r="L48">
        <v>10</v>
      </c>
      <c r="M48">
        <v>20</v>
      </c>
    </row>
    <row r="49" spans="1:13" x14ac:dyDescent="0.25">
      <c r="A49">
        <v>3278</v>
      </c>
      <c r="B49" t="s">
        <v>74</v>
      </c>
      <c r="C49" t="s">
        <v>20</v>
      </c>
      <c r="D49" s="28">
        <v>45395</v>
      </c>
      <c r="E49" t="s">
        <v>328</v>
      </c>
      <c r="F49">
        <v>5</v>
      </c>
      <c r="G49" t="s">
        <v>317</v>
      </c>
      <c r="H49" t="s">
        <v>327</v>
      </c>
      <c r="I49" t="s">
        <v>309</v>
      </c>
      <c r="J49" t="s">
        <v>327</v>
      </c>
      <c r="K49">
        <v>0</v>
      </c>
      <c r="L49">
        <v>0</v>
      </c>
      <c r="M49">
        <v>5</v>
      </c>
    </row>
    <row r="50" spans="1:13" x14ac:dyDescent="0.25">
      <c r="A50">
        <v>3279</v>
      </c>
      <c r="B50" t="s">
        <v>75</v>
      </c>
      <c r="C50" t="s">
        <v>16</v>
      </c>
      <c r="D50" s="28">
        <v>45396</v>
      </c>
      <c r="E50" t="s">
        <v>327</v>
      </c>
      <c r="F50">
        <v>15</v>
      </c>
      <c r="G50" t="s">
        <v>316</v>
      </c>
      <c r="H50" t="s">
        <v>328</v>
      </c>
      <c r="I50">
        <v>30</v>
      </c>
      <c r="J50" t="s">
        <v>328</v>
      </c>
      <c r="K50">
        <v>20</v>
      </c>
      <c r="L50">
        <v>3</v>
      </c>
      <c r="M50">
        <v>62</v>
      </c>
    </row>
    <row r="51" spans="1:13" x14ac:dyDescent="0.25">
      <c r="A51">
        <v>3280</v>
      </c>
      <c r="B51" t="s">
        <v>76</v>
      </c>
      <c r="C51" t="s">
        <v>24</v>
      </c>
      <c r="D51" s="28">
        <v>45397</v>
      </c>
      <c r="E51" t="s">
        <v>328</v>
      </c>
      <c r="F51">
        <v>10</v>
      </c>
      <c r="G51" t="s">
        <v>315</v>
      </c>
      <c r="H51" t="s">
        <v>327</v>
      </c>
      <c r="I51" t="s">
        <v>309</v>
      </c>
      <c r="J51" t="s">
        <v>328</v>
      </c>
      <c r="K51">
        <v>20</v>
      </c>
      <c r="L51">
        <v>15</v>
      </c>
      <c r="M51">
        <v>15</v>
      </c>
    </row>
    <row r="52" spans="1:13" x14ac:dyDescent="0.25">
      <c r="A52">
        <v>3281</v>
      </c>
      <c r="B52" t="s">
        <v>77</v>
      </c>
      <c r="C52" t="s">
        <v>20</v>
      </c>
      <c r="D52" s="28">
        <v>45398</v>
      </c>
      <c r="E52" t="s">
        <v>327</v>
      </c>
      <c r="F52">
        <v>5</v>
      </c>
      <c r="G52" t="s">
        <v>316</v>
      </c>
      <c r="H52" t="s">
        <v>327</v>
      </c>
      <c r="I52" t="s">
        <v>309</v>
      </c>
      <c r="J52" t="s">
        <v>327</v>
      </c>
      <c r="K52">
        <v>0</v>
      </c>
      <c r="L52">
        <v>1</v>
      </c>
      <c r="M52">
        <v>4</v>
      </c>
    </row>
    <row r="53" spans="1:13" x14ac:dyDescent="0.25">
      <c r="A53">
        <v>3282</v>
      </c>
      <c r="B53" t="s">
        <v>78</v>
      </c>
      <c r="C53" t="s">
        <v>16</v>
      </c>
      <c r="D53" s="28">
        <v>45399</v>
      </c>
      <c r="E53" t="s">
        <v>328</v>
      </c>
      <c r="F53">
        <v>15</v>
      </c>
      <c r="G53" t="s">
        <v>317</v>
      </c>
      <c r="H53" t="s">
        <v>328</v>
      </c>
      <c r="I53">
        <v>30</v>
      </c>
      <c r="J53" t="s">
        <v>328</v>
      </c>
      <c r="K53">
        <v>20</v>
      </c>
      <c r="L53">
        <v>7</v>
      </c>
      <c r="M53">
        <v>58</v>
      </c>
    </row>
    <row r="54" spans="1:13" x14ac:dyDescent="0.25">
      <c r="A54">
        <v>3283</v>
      </c>
      <c r="B54" t="s">
        <v>79</v>
      </c>
      <c r="C54" t="s">
        <v>24</v>
      </c>
      <c r="D54" s="28">
        <v>45400</v>
      </c>
      <c r="E54" t="s">
        <v>327</v>
      </c>
      <c r="F54">
        <v>10</v>
      </c>
      <c r="G54" t="s">
        <v>316</v>
      </c>
      <c r="H54" t="s">
        <v>327</v>
      </c>
      <c r="I54" t="s">
        <v>309</v>
      </c>
      <c r="J54" t="s">
        <v>328</v>
      </c>
      <c r="K54">
        <v>20</v>
      </c>
      <c r="L54">
        <v>10</v>
      </c>
      <c r="M54">
        <v>20</v>
      </c>
    </row>
    <row r="55" spans="1:13" x14ac:dyDescent="0.25">
      <c r="A55">
        <v>3284</v>
      </c>
      <c r="B55" t="s">
        <v>80</v>
      </c>
      <c r="C55" t="s">
        <v>20</v>
      </c>
      <c r="D55" s="28">
        <v>45401</v>
      </c>
      <c r="E55" t="s">
        <v>328</v>
      </c>
      <c r="F55">
        <v>5</v>
      </c>
      <c r="G55" t="s">
        <v>315</v>
      </c>
      <c r="H55" t="s">
        <v>327</v>
      </c>
      <c r="I55" t="s">
        <v>309</v>
      </c>
      <c r="J55" t="s">
        <v>327</v>
      </c>
      <c r="K55">
        <v>0</v>
      </c>
      <c r="L55">
        <v>0</v>
      </c>
      <c r="M55">
        <v>5</v>
      </c>
    </row>
    <row r="56" spans="1:13" x14ac:dyDescent="0.25">
      <c r="A56">
        <v>3285</v>
      </c>
      <c r="B56" t="s">
        <v>81</v>
      </c>
      <c r="C56" t="s">
        <v>16</v>
      </c>
      <c r="D56" s="28">
        <v>45402</v>
      </c>
      <c r="E56" t="s">
        <v>327</v>
      </c>
      <c r="F56">
        <v>15</v>
      </c>
      <c r="G56" t="s">
        <v>316</v>
      </c>
      <c r="H56" t="s">
        <v>328</v>
      </c>
      <c r="I56">
        <v>30</v>
      </c>
      <c r="J56" t="s">
        <v>328</v>
      </c>
      <c r="K56">
        <v>20</v>
      </c>
      <c r="L56">
        <v>20</v>
      </c>
      <c r="M56">
        <v>45</v>
      </c>
    </row>
    <row r="57" spans="1:13" x14ac:dyDescent="0.25">
      <c r="A57">
        <v>3286</v>
      </c>
      <c r="B57" t="s">
        <v>82</v>
      </c>
      <c r="C57" t="s">
        <v>24</v>
      </c>
      <c r="D57" s="28">
        <v>45403</v>
      </c>
      <c r="E57" t="s">
        <v>328</v>
      </c>
      <c r="F57">
        <v>10</v>
      </c>
      <c r="G57" t="s">
        <v>317</v>
      </c>
      <c r="H57" t="s">
        <v>327</v>
      </c>
      <c r="I57" t="s">
        <v>309</v>
      </c>
      <c r="J57" t="s">
        <v>328</v>
      </c>
      <c r="K57">
        <v>20</v>
      </c>
      <c r="L57">
        <v>15</v>
      </c>
      <c r="M57">
        <v>15</v>
      </c>
    </row>
    <row r="58" spans="1:13" x14ac:dyDescent="0.25">
      <c r="A58">
        <v>3287</v>
      </c>
      <c r="B58" t="s">
        <v>83</v>
      </c>
      <c r="C58" t="s">
        <v>20</v>
      </c>
      <c r="D58" s="28">
        <v>45404</v>
      </c>
      <c r="E58" t="s">
        <v>327</v>
      </c>
      <c r="F58">
        <v>5</v>
      </c>
      <c r="G58" t="s">
        <v>316</v>
      </c>
      <c r="H58" t="s">
        <v>327</v>
      </c>
      <c r="I58" t="s">
        <v>309</v>
      </c>
      <c r="J58" t="s">
        <v>327</v>
      </c>
      <c r="K58">
        <v>0</v>
      </c>
      <c r="L58">
        <v>1</v>
      </c>
      <c r="M58">
        <v>4</v>
      </c>
    </row>
    <row r="59" spans="1:13" x14ac:dyDescent="0.25">
      <c r="A59">
        <v>3288</v>
      </c>
      <c r="B59" t="s">
        <v>84</v>
      </c>
      <c r="C59" t="s">
        <v>16</v>
      </c>
      <c r="D59" s="28">
        <v>45405</v>
      </c>
      <c r="E59" t="s">
        <v>328</v>
      </c>
      <c r="F59">
        <v>15</v>
      </c>
      <c r="G59" t="s">
        <v>315</v>
      </c>
      <c r="H59" t="s">
        <v>328</v>
      </c>
      <c r="I59">
        <v>30</v>
      </c>
      <c r="J59" t="s">
        <v>328</v>
      </c>
      <c r="K59">
        <v>20</v>
      </c>
      <c r="L59">
        <v>3</v>
      </c>
      <c r="M59">
        <v>62</v>
      </c>
    </row>
    <row r="60" spans="1:13" x14ac:dyDescent="0.25">
      <c r="A60">
        <v>3289</v>
      </c>
      <c r="B60" t="s">
        <v>85</v>
      </c>
      <c r="C60" t="s">
        <v>24</v>
      </c>
      <c r="D60" s="28">
        <v>45406</v>
      </c>
      <c r="E60" t="s">
        <v>327</v>
      </c>
      <c r="F60">
        <v>10</v>
      </c>
      <c r="G60" t="s">
        <v>316</v>
      </c>
      <c r="H60" t="s">
        <v>327</v>
      </c>
      <c r="I60" t="s">
        <v>309</v>
      </c>
      <c r="J60" t="s">
        <v>328</v>
      </c>
      <c r="K60">
        <v>20</v>
      </c>
      <c r="L60">
        <v>10</v>
      </c>
      <c r="M60">
        <v>20</v>
      </c>
    </row>
    <row r="61" spans="1:13" x14ac:dyDescent="0.25">
      <c r="A61">
        <v>3290</v>
      </c>
      <c r="B61" t="s">
        <v>86</v>
      </c>
      <c r="C61" t="s">
        <v>20</v>
      </c>
      <c r="D61" s="28">
        <v>45407</v>
      </c>
      <c r="E61" t="s">
        <v>328</v>
      </c>
      <c r="F61">
        <v>5</v>
      </c>
      <c r="G61" t="s">
        <v>317</v>
      </c>
      <c r="H61" t="s">
        <v>327</v>
      </c>
      <c r="I61" t="s">
        <v>309</v>
      </c>
      <c r="J61" t="s">
        <v>327</v>
      </c>
      <c r="K61">
        <v>0</v>
      </c>
      <c r="L61">
        <v>0</v>
      </c>
      <c r="M61">
        <v>5</v>
      </c>
    </row>
    <row r="62" spans="1:13" x14ac:dyDescent="0.25">
      <c r="A62">
        <v>3291</v>
      </c>
      <c r="B62" t="s">
        <v>87</v>
      </c>
      <c r="C62" t="s">
        <v>16</v>
      </c>
      <c r="D62" s="28">
        <v>45408</v>
      </c>
      <c r="E62" t="s">
        <v>327</v>
      </c>
      <c r="F62">
        <v>15</v>
      </c>
      <c r="G62" t="s">
        <v>316</v>
      </c>
      <c r="H62" t="s">
        <v>328</v>
      </c>
      <c r="I62">
        <v>30</v>
      </c>
      <c r="J62" t="s">
        <v>328</v>
      </c>
      <c r="K62">
        <v>20</v>
      </c>
      <c r="L62">
        <v>5</v>
      </c>
      <c r="M62">
        <v>60</v>
      </c>
    </row>
    <row r="63" spans="1:13" x14ac:dyDescent="0.25">
      <c r="A63">
        <v>3292</v>
      </c>
      <c r="B63" t="s">
        <v>88</v>
      </c>
      <c r="C63" t="s">
        <v>24</v>
      </c>
      <c r="D63" s="28">
        <v>45409</v>
      </c>
      <c r="E63" t="s">
        <v>328</v>
      </c>
      <c r="F63">
        <v>10</v>
      </c>
      <c r="G63" t="s">
        <v>315</v>
      </c>
      <c r="H63" t="s">
        <v>327</v>
      </c>
      <c r="I63" t="s">
        <v>309</v>
      </c>
      <c r="J63" t="s">
        <v>328</v>
      </c>
      <c r="K63">
        <v>20</v>
      </c>
      <c r="L63">
        <v>15</v>
      </c>
      <c r="M63">
        <v>15</v>
      </c>
    </row>
    <row r="64" spans="1:13" x14ac:dyDescent="0.25">
      <c r="A64">
        <v>3293</v>
      </c>
      <c r="B64" t="s">
        <v>89</v>
      </c>
      <c r="C64" t="s">
        <v>20</v>
      </c>
      <c r="D64" s="28">
        <v>45410</v>
      </c>
      <c r="E64" t="s">
        <v>327</v>
      </c>
      <c r="F64">
        <v>5</v>
      </c>
      <c r="G64" t="s">
        <v>316</v>
      </c>
      <c r="H64" t="s">
        <v>327</v>
      </c>
      <c r="I64" t="s">
        <v>309</v>
      </c>
      <c r="J64" t="s">
        <v>327</v>
      </c>
      <c r="K64">
        <v>0</v>
      </c>
      <c r="L64">
        <v>1</v>
      </c>
      <c r="M64">
        <v>4</v>
      </c>
    </row>
    <row r="65" spans="1:13" x14ac:dyDescent="0.25">
      <c r="A65">
        <v>3294</v>
      </c>
      <c r="B65" t="s">
        <v>90</v>
      </c>
      <c r="C65" t="s">
        <v>16</v>
      </c>
      <c r="D65" s="28">
        <v>45411</v>
      </c>
      <c r="E65" t="s">
        <v>328</v>
      </c>
      <c r="F65">
        <v>15</v>
      </c>
      <c r="G65" t="s">
        <v>317</v>
      </c>
      <c r="H65" t="s">
        <v>328</v>
      </c>
      <c r="I65">
        <v>30</v>
      </c>
      <c r="J65" t="s">
        <v>328</v>
      </c>
      <c r="K65">
        <v>20</v>
      </c>
      <c r="L65">
        <v>20</v>
      </c>
      <c r="M65">
        <v>45</v>
      </c>
    </row>
    <row r="66" spans="1:13" x14ac:dyDescent="0.25">
      <c r="A66">
        <v>3295</v>
      </c>
      <c r="B66" t="s">
        <v>91</v>
      </c>
      <c r="C66" t="s">
        <v>24</v>
      </c>
      <c r="D66" s="28">
        <v>45412</v>
      </c>
      <c r="E66" t="s">
        <v>327</v>
      </c>
      <c r="F66">
        <v>10</v>
      </c>
      <c r="G66" t="s">
        <v>316</v>
      </c>
      <c r="H66" t="s">
        <v>327</v>
      </c>
      <c r="I66" t="s">
        <v>309</v>
      </c>
      <c r="J66" t="s">
        <v>328</v>
      </c>
      <c r="K66">
        <v>20</v>
      </c>
      <c r="L66">
        <v>5</v>
      </c>
      <c r="M66">
        <v>25</v>
      </c>
    </row>
    <row r="67" spans="1:13" x14ac:dyDescent="0.25">
      <c r="A67">
        <v>3296</v>
      </c>
      <c r="B67" t="s">
        <v>92</v>
      </c>
      <c r="C67" t="s">
        <v>20</v>
      </c>
      <c r="D67" s="28">
        <v>45413</v>
      </c>
      <c r="E67" t="s">
        <v>327</v>
      </c>
      <c r="F67">
        <v>5</v>
      </c>
      <c r="G67" t="s">
        <v>316</v>
      </c>
      <c r="H67" t="s">
        <v>327</v>
      </c>
      <c r="I67" t="s">
        <v>309</v>
      </c>
      <c r="J67" t="s">
        <v>327</v>
      </c>
      <c r="K67">
        <v>0</v>
      </c>
      <c r="L67">
        <v>0</v>
      </c>
      <c r="M67">
        <v>5</v>
      </c>
    </row>
    <row r="68" spans="1:13" x14ac:dyDescent="0.25">
      <c r="A68">
        <v>3297</v>
      </c>
      <c r="B68" t="s">
        <v>93</v>
      </c>
      <c r="C68" t="s">
        <v>16</v>
      </c>
      <c r="D68" s="28">
        <v>45414</v>
      </c>
      <c r="E68" t="s">
        <v>328</v>
      </c>
      <c r="F68">
        <v>15</v>
      </c>
      <c r="G68" t="s">
        <v>317</v>
      </c>
      <c r="H68" t="s">
        <v>328</v>
      </c>
      <c r="I68">
        <v>30</v>
      </c>
      <c r="J68" t="s">
        <v>328</v>
      </c>
      <c r="K68">
        <v>20</v>
      </c>
      <c r="L68">
        <v>7</v>
      </c>
      <c r="M68">
        <v>58</v>
      </c>
    </row>
    <row r="69" spans="1:13" x14ac:dyDescent="0.25">
      <c r="A69">
        <v>3298</v>
      </c>
      <c r="B69" t="s">
        <v>94</v>
      </c>
      <c r="C69" t="s">
        <v>24</v>
      </c>
      <c r="D69" s="28">
        <v>45415</v>
      </c>
      <c r="E69" t="s">
        <v>327</v>
      </c>
      <c r="F69">
        <v>10</v>
      </c>
      <c r="G69" t="s">
        <v>315</v>
      </c>
      <c r="H69" t="s">
        <v>327</v>
      </c>
      <c r="I69" t="s">
        <v>309</v>
      </c>
      <c r="J69" t="s">
        <v>328</v>
      </c>
      <c r="K69">
        <v>20</v>
      </c>
      <c r="L69">
        <v>10</v>
      </c>
      <c r="M69">
        <v>20</v>
      </c>
    </row>
    <row r="70" spans="1:13" x14ac:dyDescent="0.25">
      <c r="A70">
        <v>3299</v>
      </c>
      <c r="B70" t="s">
        <v>95</v>
      </c>
      <c r="C70" t="s">
        <v>20</v>
      </c>
      <c r="D70" s="28">
        <v>45416</v>
      </c>
      <c r="E70" t="s">
        <v>328</v>
      </c>
      <c r="F70">
        <v>5</v>
      </c>
      <c r="G70" t="s">
        <v>317</v>
      </c>
      <c r="H70" t="s">
        <v>327</v>
      </c>
      <c r="I70" t="s">
        <v>309</v>
      </c>
      <c r="J70" t="s">
        <v>327</v>
      </c>
      <c r="K70">
        <v>0</v>
      </c>
      <c r="L70">
        <v>1</v>
      </c>
      <c r="M70">
        <v>4</v>
      </c>
    </row>
    <row r="71" spans="1:13" x14ac:dyDescent="0.25">
      <c r="A71">
        <v>3300</v>
      </c>
      <c r="B71" t="s">
        <v>96</v>
      </c>
      <c r="C71" t="s">
        <v>16</v>
      </c>
      <c r="D71" s="28">
        <v>45417</v>
      </c>
      <c r="E71" t="s">
        <v>327</v>
      </c>
      <c r="F71">
        <v>15</v>
      </c>
      <c r="G71" t="s">
        <v>316</v>
      </c>
      <c r="H71" t="s">
        <v>328</v>
      </c>
      <c r="I71">
        <v>30</v>
      </c>
      <c r="J71" t="s">
        <v>328</v>
      </c>
      <c r="K71">
        <v>20</v>
      </c>
      <c r="L71">
        <v>15</v>
      </c>
      <c r="M71">
        <v>50</v>
      </c>
    </row>
    <row r="72" spans="1:13" x14ac:dyDescent="0.25">
      <c r="A72">
        <v>3301</v>
      </c>
      <c r="B72" t="s">
        <v>97</v>
      </c>
      <c r="C72" t="s">
        <v>24</v>
      </c>
      <c r="D72" s="28">
        <v>45418</v>
      </c>
      <c r="E72" t="s">
        <v>328</v>
      </c>
      <c r="F72">
        <v>10</v>
      </c>
      <c r="G72" t="s">
        <v>316</v>
      </c>
      <c r="H72" t="s">
        <v>327</v>
      </c>
      <c r="I72" t="s">
        <v>309</v>
      </c>
      <c r="J72" t="s">
        <v>328</v>
      </c>
      <c r="K72">
        <v>20</v>
      </c>
      <c r="L72">
        <v>5</v>
      </c>
      <c r="M72">
        <v>25</v>
      </c>
    </row>
    <row r="73" spans="1:13" x14ac:dyDescent="0.25">
      <c r="A73">
        <v>3302</v>
      </c>
      <c r="B73" t="s">
        <v>98</v>
      </c>
      <c r="C73" t="s">
        <v>20</v>
      </c>
      <c r="D73" s="28">
        <v>45419</v>
      </c>
      <c r="E73" t="s">
        <v>327</v>
      </c>
      <c r="F73">
        <v>5</v>
      </c>
      <c r="G73" t="s">
        <v>315</v>
      </c>
      <c r="H73" t="s">
        <v>327</v>
      </c>
      <c r="I73" t="s">
        <v>309</v>
      </c>
      <c r="J73" t="s">
        <v>327</v>
      </c>
      <c r="K73">
        <v>0</v>
      </c>
      <c r="L73">
        <v>0</v>
      </c>
      <c r="M73">
        <v>5</v>
      </c>
    </row>
    <row r="74" spans="1:13" x14ac:dyDescent="0.25">
      <c r="A74">
        <v>3303</v>
      </c>
      <c r="B74" t="s">
        <v>99</v>
      </c>
      <c r="C74" t="s">
        <v>16</v>
      </c>
      <c r="D74" s="28">
        <v>45420</v>
      </c>
      <c r="E74" t="s">
        <v>328</v>
      </c>
      <c r="F74">
        <v>15</v>
      </c>
      <c r="G74" t="s">
        <v>317</v>
      </c>
      <c r="H74" t="s">
        <v>328</v>
      </c>
      <c r="I74">
        <v>30</v>
      </c>
      <c r="J74" t="s">
        <v>328</v>
      </c>
      <c r="K74">
        <v>20</v>
      </c>
      <c r="L74">
        <v>20</v>
      </c>
      <c r="M74">
        <v>45</v>
      </c>
    </row>
    <row r="75" spans="1:13" x14ac:dyDescent="0.25">
      <c r="A75">
        <v>3304</v>
      </c>
      <c r="B75" t="s">
        <v>100</v>
      </c>
      <c r="C75" t="s">
        <v>24</v>
      </c>
      <c r="D75" s="28">
        <v>45421</v>
      </c>
      <c r="E75" t="s">
        <v>327</v>
      </c>
      <c r="F75">
        <v>10</v>
      </c>
      <c r="G75" t="s">
        <v>317</v>
      </c>
      <c r="H75" t="s">
        <v>327</v>
      </c>
      <c r="I75" t="s">
        <v>309</v>
      </c>
      <c r="J75" t="s">
        <v>328</v>
      </c>
      <c r="K75">
        <v>20</v>
      </c>
      <c r="L75">
        <v>12</v>
      </c>
      <c r="M75">
        <v>18</v>
      </c>
    </row>
    <row r="76" spans="1:13" x14ac:dyDescent="0.25">
      <c r="A76">
        <v>3305</v>
      </c>
      <c r="B76" t="s">
        <v>101</v>
      </c>
      <c r="C76" t="s">
        <v>20</v>
      </c>
      <c r="D76" s="28">
        <v>45422</v>
      </c>
      <c r="E76" t="s">
        <v>328</v>
      </c>
      <c r="F76">
        <v>5</v>
      </c>
      <c r="G76" t="s">
        <v>316</v>
      </c>
      <c r="H76" t="s">
        <v>327</v>
      </c>
      <c r="I76" t="s">
        <v>309</v>
      </c>
      <c r="J76" t="s">
        <v>327</v>
      </c>
      <c r="K76">
        <v>0</v>
      </c>
      <c r="L76">
        <v>2</v>
      </c>
      <c r="M76">
        <v>3</v>
      </c>
    </row>
    <row r="77" spans="1:13" x14ac:dyDescent="0.25">
      <c r="A77">
        <v>3306</v>
      </c>
      <c r="B77" t="s">
        <v>102</v>
      </c>
      <c r="C77" t="s">
        <v>16</v>
      </c>
      <c r="D77" s="28">
        <v>45423</v>
      </c>
      <c r="E77" t="s">
        <v>327</v>
      </c>
      <c r="F77">
        <v>15</v>
      </c>
      <c r="G77" t="s">
        <v>315</v>
      </c>
      <c r="H77" t="s">
        <v>328</v>
      </c>
      <c r="I77">
        <v>30</v>
      </c>
      <c r="J77" t="s">
        <v>328</v>
      </c>
      <c r="K77">
        <v>20</v>
      </c>
      <c r="L77">
        <v>5</v>
      </c>
      <c r="M77">
        <v>60</v>
      </c>
    </row>
    <row r="78" spans="1:13" x14ac:dyDescent="0.25">
      <c r="A78">
        <v>3307</v>
      </c>
      <c r="B78" t="s">
        <v>103</v>
      </c>
      <c r="C78" t="s">
        <v>24</v>
      </c>
      <c r="D78" s="28">
        <v>45424</v>
      </c>
      <c r="E78" t="s">
        <v>328</v>
      </c>
      <c r="F78">
        <v>10</v>
      </c>
      <c r="G78" t="s">
        <v>316</v>
      </c>
      <c r="H78" t="s">
        <v>327</v>
      </c>
      <c r="I78" t="s">
        <v>309</v>
      </c>
      <c r="J78" t="s">
        <v>328</v>
      </c>
      <c r="K78">
        <v>20</v>
      </c>
      <c r="L78">
        <v>10</v>
      </c>
      <c r="M78">
        <v>20</v>
      </c>
    </row>
    <row r="79" spans="1:13" x14ac:dyDescent="0.25">
      <c r="A79">
        <v>3308</v>
      </c>
      <c r="B79" t="s">
        <v>104</v>
      </c>
      <c r="C79" t="s">
        <v>20</v>
      </c>
      <c r="D79" s="28">
        <v>45425</v>
      </c>
      <c r="E79" t="s">
        <v>327</v>
      </c>
      <c r="F79">
        <v>5</v>
      </c>
      <c r="G79" t="s">
        <v>317</v>
      </c>
      <c r="H79" t="s">
        <v>327</v>
      </c>
      <c r="I79" t="s">
        <v>309</v>
      </c>
      <c r="J79" t="s">
        <v>327</v>
      </c>
      <c r="K79">
        <v>0</v>
      </c>
      <c r="L79">
        <v>0</v>
      </c>
      <c r="M79">
        <v>5</v>
      </c>
    </row>
    <row r="80" spans="1:13" x14ac:dyDescent="0.25">
      <c r="A80">
        <v>3309</v>
      </c>
      <c r="B80" t="s">
        <v>105</v>
      </c>
      <c r="C80" t="s">
        <v>16</v>
      </c>
      <c r="D80" s="28">
        <v>45426</v>
      </c>
      <c r="E80" t="s">
        <v>328</v>
      </c>
      <c r="F80">
        <v>15</v>
      </c>
      <c r="G80" t="s">
        <v>316</v>
      </c>
      <c r="H80" t="s">
        <v>328</v>
      </c>
      <c r="I80">
        <v>30</v>
      </c>
      <c r="J80" t="s">
        <v>328</v>
      </c>
      <c r="K80">
        <v>20</v>
      </c>
      <c r="L80">
        <v>3</v>
      </c>
      <c r="M80">
        <v>62</v>
      </c>
    </row>
    <row r="81" spans="1:13" x14ac:dyDescent="0.25">
      <c r="A81">
        <v>3310</v>
      </c>
      <c r="B81" t="s">
        <v>106</v>
      </c>
      <c r="C81" t="s">
        <v>24</v>
      </c>
      <c r="D81" s="28">
        <v>45427</v>
      </c>
      <c r="E81" t="s">
        <v>327</v>
      </c>
      <c r="F81">
        <v>10</v>
      </c>
      <c r="G81" t="s">
        <v>315</v>
      </c>
      <c r="H81" t="s">
        <v>327</v>
      </c>
      <c r="I81" t="s">
        <v>309</v>
      </c>
      <c r="J81" t="s">
        <v>328</v>
      </c>
      <c r="K81">
        <v>20</v>
      </c>
      <c r="L81">
        <v>15</v>
      </c>
      <c r="M81">
        <v>15</v>
      </c>
    </row>
    <row r="82" spans="1:13" x14ac:dyDescent="0.25">
      <c r="A82">
        <v>3311</v>
      </c>
      <c r="B82" t="s">
        <v>107</v>
      </c>
      <c r="C82" t="s">
        <v>20</v>
      </c>
      <c r="D82" s="28">
        <v>45428</v>
      </c>
      <c r="E82" t="s">
        <v>328</v>
      </c>
      <c r="F82">
        <v>5</v>
      </c>
      <c r="G82" t="s">
        <v>316</v>
      </c>
      <c r="H82" t="s">
        <v>327</v>
      </c>
      <c r="I82" t="s">
        <v>309</v>
      </c>
      <c r="J82" t="s">
        <v>327</v>
      </c>
      <c r="K82">
        <v>0</v>
      </c>
      <c r="L82">
        <v>1</v>
      </c>
      <c r="M82">
        <v>4</v>
      </c>
    </row>
    <row r="83" spans="1:13" x14ac:dyDescent="0.25">
      <c r="A83">
        <v>3312</v>
      </c>
      <c r="B83" t="s">
        <v>108</v>
      </c>
      <c r="C83" t="s">
        <v>16</v>
      </c>
      <c r="D83" s="28">
        <v>45429</v>
      </c>
      <c r="E83" t="s">
        <v>327</v>
      </c>
      <c r="F83">
        <v>15</v>
      </c>
      <c r="G83" t="s">
        <v>317</v>
      </c>
      <c r="H83" t="s">
        <v>328</v>
      </c>
      <c r="I83">
        <v>30</v>
      </c>
      <c r="J83" t="s">
        <v>328</v>
      </c>
      <c r="K83">
        <v>20</v>
      </c>
      <c r="L83">
        <v>7</v>
      </c>
      <c r="M83">
        <v>58</v>
      </c>
    </row>
    <row r="84" spans="1:13" x14ac:dyDescent="0.25">
      <c r="A84">
        <v>3313</v>
      </c>
      <c r="B84" t="s">
        <v>109</v>
      </c>
      <c r="C84" t="s">
        <v>24</v>
      </c>
      <c r="D84" s="28">
        <v>45430</v>
      </c>
      <c r="E84" t="s">
        <v>328</v>
      </c>
      <c r="F84">
        <v>10</v>
      </c>
      <c r="G84" t="s">
        <v>316</v>
      </c>
      <c r="H84" t="s">
        <v>327</v>
      </c>
      <c r="I84" t="s">
        <v>309</v>
      </c>
      <c r="J84" t="s">
        <v>328</v>
      </c>
      <c r="K84">
        <v>20</v>
      </c>
      <c r="L84">
        <v>10</v>
      </c>
      <c r="M84">
        <v>20</v>
      </c>
    </row>
    <row r="85" spans="1:13" x14ac:dyDescent="0.25">
      <c r="A85">
        <v>3314</v>
      </c>
      <c r="B85" t="s">
        <v>110</v>
      </c>
      <c r="C85" t="s">
        <v>20</v>
      </c>
      <c r="D85" s="28">
        <v>45431</v>
      </c>
      <c r="E85" t="s">
        <v>327</v>
      </c>
      <c r="F85">
        <v>5</v>
      </c>
      <c r="G85" t="s">
        <v>315</v>
      </c>
      <c r="H85" t="s">
        <v>327</v>
      </c>
      <c r="I85" t="s">
        <v>309</v>
      </c>
      <c r="J85" t="s">
        <v>327</v>
      </c>
      <c r="K85">
        <v>0</v>
      </c>
      <c r="L85">
        <v>0</v>
      </c>
      <c r="M85">
        <v>5</v>
      </c>
    </row>
    <row r="86" spans="1:13" x14ac:dyDescent="0.25">
      <c r="A86">
        <v>3315</v>
      </c>
      <c r="B86" t="s">
        <v>111</v>
      </c>
      <c r="C86" t="s">
        <v>16</v>
      </c>
      <c r="D86" s="28">
        <v>45432</v>
      </c>
      <c r="E86" t="s">
        <v>328</v>
      </c>
      <c r="F86">
        <v>15</v>
      </c>
      <c r="G86" t="s">
        <v>316</v>
      </c>
      <c r="H86" t="s">
        <v>328</v>
      </c>
      <c r="I86">
        <v>30</v>
      </c>
      <c r="J86" t="s">
        <v>328</v>
      </c>
      <c r="K86">
        <v>20</v>
      </c>
      <c r="L86">
        <v>20</v>
      </c>
      <c r="M86">
        <v>45</v>
      </c>
    </row>
    <row r="87" spans="1:13" x14ac:dyDescent="0.25">
      <c r="A87">
        <v>3316</v>
      </c>
      <c r="B87" t="s">
        <v>112</v>
      </c>
      <c r="C87" t="s">
        <v>24</v>
      </c>
      <c r="D87" s="28">
        <v>45433</v>
      </c>
      <c r="E87" t="s">
        <v>327</v>
      </c>
      <c r="F87">
        <v>10</v>
      </c>
      <c r="G87" t="s">
        <v>317</v>
      </c>
      <c r="H87" t="s">
        <v>327</v>
      </c>
      <c r="I87" t="s">
        <v>309</v>
      </c>
      <c r="J87" t="s">
        <v>328</v>
      </c>
      <c r="K87">
        <v>20</v>
      </c>
      <c r="L87">
        <v>15</v>
      </c>
      <c r="M87">
        <v>15</v>
      </c>
    </row>
    <row r="88" spans="1:13" x14ac:dyDescent="0.25">
      <c r="A88">
        <v>3317</v>
      </c>
      <c r="B88" t="s">
        <v>113</v>
      </c>
      <c r="C88" t="s">
        <v>20</v>
      </c>
      <c r="D88" s="28">
        <v>45434</v>
      </c>
      <c r="E88" t="s">
        <v>328</v>
      </c>
      <c r="F88">
        <v>5</v>
      </c>
      <c r="G88" t="s">
        <v>316</v>
      </c>
      <c r="H88" t="s">
        <v>327</v>
      </c>
      <c r="I88" t="s">
        <v>309</v>
      </c>
      <c r="J88" t="s">
        <v>327</v>
      </c>
      <c r="K88">
        <v>0</v>
      </c>
      <c r="L88">
        <v>1</v>
      </c>
      <c r="M88">
        <v>4</v>
      </c>
    </row>
    <row r="89" spans="1:13" x14ac:dyDescent="0.25">
      <c r="A89">
        <v>3318</v>
      </c>
      <c r="B89" t="s">
        <v>114</v>
      </c>
      <c r="C89" t="s">
        <v>16</v>
      </c>
      <c r="D89" s="28">
        <v>45435</v>
      </c>
      <c r="E89" t="s">
        <v>327</v>
      </c>
      <c r="F89">
        <v>15</v>
      </c>
      <c r="G89" t="s">
        <v>315</v>
      </c>
      <c r="H89" t="s">
        <v>328</v>
      </c>
      <c r="I89">
        <v>30</v>
      </c>
      <c r="J89" t="s">
        <v>328</v>
      </c>
      <c r="K89">
        <v>20</v>
      </c>
      <c r="L89">
        <v>3</v>
      </c>
      <c r="M89">
        <v>62</v>
      </c>
    </row>
    <row r="90" spans="1:13" x14ac:dyDescent="0.25">
      <c r="A90">
        <v>3319</v>
      </c>
      <c r="B90" t="s">
        <v>115</v>
      </c>
      <c r="C90" t="s">
        <v>24</v>
      </c>
      <c r="D90" s="28">
        <v>45436</v>
      </c>
      <c r="E90" t="s">
        <v>328</v>
      </c>
      <c r="F90">
        <v>10</v>
      </c>
      <c r="G90" t="s">
        <v>316</v>
      </c>
      <c r="H90" t="s">
        <v>327</v>
      </c>
      <c r="I90" t="s">
        <v>309</v>
      </c>
      <c r="J90" t="s">
        <v>328</v>
      </c>
      <c r="K90">
        <v>20</v>
      </c>
      <c r="L90">
        <v>10</v>
      </c>
      <c r="M90">
        <v>20</v>
      </c>
    </row>
    <row r="91" spans="1:13" x14ac:dyDescent="0.25">
      <c r="A91">
        <v>3320</v>
      </c>
      <c r="B91" t="s">
        <v>116</v>
      </c>
      <c r="C91" t="s">
        <v>20</v>
      </c>
      <c r="D91" s="28">
        <v>45437</v>
      </c>
      <c r="E91" t="s">
        <v>327</v>
      </c>
      <c r="F91">
        <v>5</v>
      </c>
      <c r="G91" t="s">
        <v>317</v>
      </c>
      <c r="H91" t="s">
        <v>327</v>
      </c>
      <c r="I91" t="s">
        <v>309</v>
      </c>
      <c r="J91" t="s">
        <v>327</v>
      </c>
      <c r="K91">
        <v>0</v>
      </c>
      <c r="L91">
        <v>0</v>
      </c>
      <c r="M91">
        <v>5</v>
      </c>
    </row>
    <row r="92" spans="1:13" x14ac:dyDescent="0.25">
      <c r="A92">
        <v>3321</v>
      </c>
      <c r="B92" t="s">
        <v>117</v>
      </c>
      <c r="C92" t="s">
        <v>16</v>
      </c>
      <c r="D92" s="28">
        <v>45438</v>
      </c>
      <c r="E92" t="s">
        <v>328</v>
      </c>
      <c r="F92">
        <v>15</v>
      </c>
      <c r="G92" t="s">
        <v>316</v>
      </c>
      <c r="H92" t="s">
        <v>328</v>
      </c>
      <c r="I92">
        <v>30</v>
      </c>
      <c r="J92" t="s">
        <v>328</v>
      </c>
      <c r="K92">
        <v>20</v>
      </c>
      <c r="L92">
        <v>5</v>
      </c>
      <c r="M92">
        <v>60</v>
      </c>
    </row>
    <row r="93" spans="1:13" x14ac:dyDescent="0.25">
      <c r="A93">
        <v>3322</v>
      </c>
      <c r="B93" t="s">
        <v>118</v>
      </c>
      <c r="C93" t="s">
        <v>24</v>
      </c>
      <c r="D93" s="28">
        <v>45439</v>
      </c>
      <c r="E93" t="s">
        <v>327</v>
      </c>
      <c r="F93">
        <v>10</v>
      </c>
      <c r="G93" t="s">
        <v>315</v>
      </c>
      <c r="H93" t="s">
        <v>327</v>
      </c>
      <c r="I93" t="s">
        <v>309</v>
      </c>
      <c r="J93" t="s">
        <v>328</v>
      </c>
      <c r="K93">
        <v>20</v>
      </c>
      <c r="L93">
        <v>15</v>
      </c>
      <c r="M93">
        <v>15</v>
      </c>
    </row>
    <row r="94" spans="1:13" x14ac:dyDescent="0.25">
      <c r="A94">
        <v>3323</v>
      </c>
      <c r="B94" t="s">
        <v>119</v>
      </c>
      <c r="C94" t="s">
        <v>20</v>
      </c>
      <c r="D94" s="28">
        <v>45440</v>
      </c>
      <c r="E94" t="s">
        <v>328</v>
      </c>
      <c r="F94">
        <v>5</v>
      </c>
      <c r="G94" t="s">
        <v>316</v>
      </c>
      <c r="H94" t="s">
        <v>327</v>
      </c>
      <c r="I94" t="s">
        <v>309</v>
      </c>
      <c r="J94" t="s">
        <v>327</v>
      </c>
      <c r="K94">
        <v>0</v>
      </c>
      <c r="L94">
        <v>1</v>
      </c>
      <c r="M94">
        <v>4</v>
      </c>
    </row>
    <row r="95" spans="1:13" x14ac:dyDescent="0.25">
      <c r="A95">
        <v>3324</v>
      </c>
      <c r="B95" t="s">
        <v>120</v>
      </c>
      <c r="C95" t="s">
        <v>16</v>
      </c>
      <c r="D95" s="28">
        <v>45441</v>
      </c>
      <c r="E95" t="s">
        <v>327</v>
      </c>
      <c r="F95">
        <v>15</v>
      </c>
      <c r="G95" t="s">
        <v>317</v>
      </c>
      <c r="H95" t="s">
        <v>328</v>
      </c>
      <c r="I95">
        <v>30</v>
      </c>
      <c r="J95" t="s">
        <v>328</v>
      </c>
      <c r="K95">
        <v>20</v>
      </c>
      <c r="L95">
        <v>20</v>
      </c>
      <c r="M95">
        <v>45</v>
      </c>
    </row>
    <row r="96" spans="1:13" x14ac:dyDescent="0.25">
      <c r="A96">
        <v>3325</v>
      </c>
      <c r="B96" t="s">
        <v>121</v>
      </c>
      <c r="C96" t="s">
        <v>24</v>
      </c>
      <c r="D96" s="28">
        <v>45442</v>
      </c>
      <c r="E96" t="s">
        <v>328</v>
      </c>
      <c r="F96">
        <v>10</v>
      </c>
      <c r="G96" t="s">
        <v>317</v>
      </c>
      <c r="H96" t="s">
        <v>327</v>
      </c>
      <c r="I96" t="s">
        <v>309</v>
      </c>
      <c r="J96" t="s">
        <v>328</v>
      </c>
      <c r="K96">
        <v>20</v>
      </c>
      <c r="L96">
        <v>15</v>
      </c>
      <c r="M96">
        <v>15</v>
      </c>
    </row>
    <row r="97" spans="1:13" x14ac:dyDescent="0.25">
      <c r="A97">
        <v>3326</v>
      </c>
      <c r="B97" t="s">
        <v>122</v>
      </c>
      <c r="C97" t="s">
        <v>20</v>
      </c>
      <c r="D97" s="28">
        <v>45443</v>
      </c>
      <c r="E97" t="s">
        <v>327</v>
      </c>
      <c r="F97">
        <v>5</v>
      </c>
      <c r="G97" t="s">
        <v>315</v>
      </c>
      <c r="H97" t="s">
        <v>327</v>
      </c>
      <c r="I97" t="s">
        <v>309</v>
      </c>
      <c r="J97" t="s">
        <v>327</v>
      </c>
      <c r="K97">
        <v>0</v>
      </c>
      <c r="L97">
        <v>0</v>
      </c>
      <c r="M97">
        <v>5</v>
      </c>
    </row>
    <row r="98" spans="1:13" x14ac:dyDescent="0.25">
      <c r="A98">
        <v>3327</v>
      </c>
      <c r="B98" t="s">
        <v>123</v>
      </c>
      <c r="C98" t="s">
        <v>16</v>
      </c>
      <c r="D98" s="28">
        <v>45444</v>
      </c>
      <c r="E98" t="s">
        <v>328</v>
      </c>
      <c r="F98">
        <v>15</v>
      </c>
      <c r="G98" t="s">
        <v>316</v>
      </c>
      <c r="H98" t="s">
        <v>328</v>
      </c>
      <c r="I98">
        <v>30</v>
      </c>
      <c r="J98" t="s">
        <v>328</v>
      </c>
      <c r="K98">
        <v>20</v>
      </c>
      <c r="L98">
        <v>7</v>
      </c>
      <c r="M98">
        <v>58</v>
      </c>
    </row>
    <row r="99" spans="1:13" x14ac:dyDescent="0.25">
      <c r="A99">
        <v>3328</v>
      </c>
      <c r="B99" t="s">
        <v>124</v>
      </c>
      <c r="C99" t="s">
        <v>24</v>
      </c>
      <c r="D99" s="28">
        <v>45445</v>
      </c>
      <c r="E99" t="s">
        <v>327</v>
      </c>
      <c r="F99">
        <v>10</v>
      </c>
      <c r="G99" t="s">
        <v>315</v>
      </c>
      <c r="H99" t="s">
        <v>327</v>
      </c>
      <c r="I99" t="s">
        <v>309</v>
      </c>
      <c r="J99" t="s">
        <v>328</v>
      </c>
      <c r="K99">
        <v>20</v>
      </c>
      <c r="L99">
        <v>10</v>
      </c>
      <c r="M99">
        <v>20</v>
      </c>
    </row>
    <row r="100" spans="1:13" x14ac:dyDescent="0.25">
      <c r="A100">
        <v>3329</v>
      </c>
      <c r="B100" t="s">
        <v>125</v>
      </c>
      <c r="C100" t="s">
        <v>20</v>
      </c>
      <c r="D100" s="28">
        <v>45446</v>
      </c>
      <c r="E100" t="s">
        <v>328</v>
      </c>
      <c r="F100">
        <v>5</v>
      </c>
      <c r="G100" t="s">
        <v>317</v>
      </c>
      <c r="H100" t="s">
        <v>327</v>
      </c>
      <c r="I100" t="s">
        <v>309</v>
      </c>
      <c r="J100" t="s">
        <v>327</v>
      </c>
      <c r="K100">
        <v>0</v>
      </c>
      <c r="L100">
        <v>1</v>
      </c>
      <c r="M100">
        <v>4</v>
      </c>
    </row>
    <row r="101" spans="1:13" x14ac:dyDescent="0.25">
      <c r="A101">
        <v>3330</v>
      </c>
      <c r="B101" t="s">
        <v>126</v>
      </c>
      <c r="C101" t="s">
        <v>16</v>
      </c>
      <c r="D101" s="28">
        <v>45447</v>
      </c>
      <c r="E101" t="s">
        <v>327</v>
      </c>
      <c r="F101">
        <v>15</v>
      </c>
      <c r="G101" t="s">
        <v>316</v>
      </c>
      <c r="H101" t="s">
        <v>328</v>
      </c>
      <c r="I101">
        <v>30</v>
      </c>
      <c r="J101" t="s">
        <v>328</v>
      </c>
      <c r="K101">
        <v>20</v>
      </c>
      <c r="L101">
        <v>15</v>
      </c>
      <c r="M101">
        <v>50</v>
      </c>
    </row>
    <row r="102" spans="1:13" x14ac:dyDescent="0.25">
      <c r="A102">
        <v>3331</v>
      </c>
      <c r="B102" t="s">
        <v>127</v>
      </c>
      <c r="C102" t="s">
        <v>24</v>
      </c>
      <c r="D102" s="28">
        <v>45448</v>
      </c>
      <c r="E102" t="s">
        <v>328</v>
      </c>
      <c r="F102">
        <v>10</v>
      </c>
      <c r="G102" t="s">
        <v>316</v>
      </c>
      <c r="H102" t="s">
        <v>327</v>
      </c>
      <c r="I102" t="s">
        <v>309</v>
      </c>
      <c r="J102" t="s">
        <v>328</v>
      </c>
      <c r="K102">
        <v>20</v>
      </c>
      <c r="L102">
        <v>5</v>
      </c>
      <c r="M102">
        <v>25</v>
      </c>
    </row>
    <row r="103" spans="1:13" x14ac:dyDescent="0.25">
      <c r="A103">
        <v>3332</v>
      </c>
      <c r="B103" t="s">
        <v>128</v>
      </c>
      <c r="C103" t="s">
        <v>20</v>
      </c>
      <c r="D103" s="28">
        <v>45449</v>
      </c>
      <c r="E103" t="s">
        <v>327</v>
      </c>
      <c r="F103">
        <v>5</v>
      </c>
      <c r="G103" t="s">
        <v>315</v>
      </c>
      <c r="H103" t="s">
        <v>327</v>
      </c>
      <c r="I103" t="s">
        <v>309</v>
      </c>
      <c r="J103" t="s">
        <v>327</v>
      </c>
      <c r="K103">
        <v>0</v>
      </c>
      <c r="L103">
        <v>0</v>
      </c>
      <c r="M103">
        <v>5</v>
      </c>
    </row>
    <row r="104" spans="1:13" x14ac:dyDescent="0.25">
      <c r="A104">
        <v>3333</v>
      </c>
      <c r="B104" t="s">
        <v>129</v>
      </c>
      <c r="C104" t="s">
        <v>16</v>
      </c>
      <c r="D104" s="28">
        <v>45450</v>
      </c>
      <c r="E104" t="s">
        <v>328</v>
      </c>
      <c r="F104">
        <v>15</v>
      </c>
      <c r="G104" t="s">
        <v>317</v>
      </c>
      <c r="H104" t="s">
        <v>328</v>
      </c>
      <c r="I104">
        <v>30</v>
      </c>
      <c r="J104" t="s">
        <v>328</v>
      </c>
      <c r="K104">
        <v>20</v>
      </c>
      <c r="L104">
        <v>20</v>
      </c>
      <c r="M104">
        <v>45</v>
      </c>
    </row>
    <row r="105" spans="1:13" x14ac:dyDescent="0.25">
      <c r="A105">
        <v>3334</v>
      </c>
      <c r="B105" t="s">
        <v>130</v>
      </c>
      <c r="C105" t="s">
        <v>24</v>
      </c>
      <c r="D105" s="28">
        <v>45451</v>
      </c>
      <c r="E105" t="s">
        <v>327</v>
      </c>
      <c r="F105">
        <v>10</v>
      </c>
      <c r="G105" t="s">
        <v>317</v>
      </c>
      <c r="H105" t="s">
        <v>327</v>
      </c>
      <c r="I105" t="s">
        <v>309</v>
      </c>
      <c r="J105" t="s">
        <v>328</v>
      </c>
      <c r="K105">
        <v>20</v>
      </c>
      <c r="L105">
        <v>12</v>
      </c>
      <c r="M105">
        <v>18</v>
      </c>
    </row>
    <row r="106" spans="1:13" x14ac:dyDescent="0.25">
      <c r="A106">
        <v>3335</v>
      </c>
      <c r="B106" t="s">
        <v>131</v>
      </c>
      <c r="C106" t="s">
        <v>20</v>
      </c>
      <c r="D106" s="28">
        <v>45452</v>
      </c>
      <c r="E106" t="s">
        <v>328</v>
      </c>
      <c r="F106">
        <v>5</v>
      </c>
      <c r="G106" t="s">
        <v>316</v>
      </c>
      <c r="H106" t="s">
        <v>327</v>
      </c>
      <c r="I106" t="s">
        <v>309</v>
      </c>
      <c r="J106" t="s">
        <v>327</v>
      </c>
      <c r="K106">
        <v>0</v>
      </c>
      <c r="L106">
        <v>2</v>
      </c>
      <c r="M106">
        <v>3</v>
      </c>
    </row>
    <row r="107" spans="1:13" x14ac:dyDescent="0.25">
      <c r="A107">
        <v>3336</v>
      </c>
      <c r="B107" t="s">
        <v>132</v>
      </c>
      <c r="C107" t="s">
        <v>20</v>
      </c>
      <c r="D107" s="28">
        <v>45453</v>
      </c>
      <c r="E107" t="s">
        <v>328</v>
      </c>
      <c r="F107">
        <v>5</v>
      </c>
      <c r="G107" t="s">
        <v>316</v>
      </c>
      <c r="H107" t="s">
        <v>327</v>
      </c>
      <c r="I107" t="s">
        <v>309</v>
      </c>
      <c r="J107" t="s">
        <v>327</v>
      </c>
      <c r="K107">
        <v>0</v>
      </c>
      <c r="L107">
        <v>0</v>
      </c>
      <c r="M107">
        <v>5</v>
      </c>
    </row>
    <row r="108" spans="1:13" x14ac:dyDescent="0.25">
      <c r="A108">
        <v>3337</v>
      </c>
      <c r="B108" t="s">
        <v>133</v>
      </c>
      <c r="C108" t="s">
        <v>16</v>
      </c>
      <c r="D108" s="28">
        <v>45454</v>
      </c>
      <c r="E108" t="s">
        <v>327</v>
      </c>
      <c r="F108">
        <v>15</v>
      </c>
      <c r="G108" t="s">
        <v>317</v>
      </c>
      <c r="H108" t="s">
        <v>328</v>
      </c>
      <c r="I108">
        <v>30</v>
      </c>
      <c r="J108" t="s">
        <v>328</v>
      </c>
      <c r="K108">
        <v>20</v>
      </c>
      <c r="L108">
        <v>7</v>
      </c>
      <c r="M108">
        <v>58</v>
      </c>
    </row>
    <row r="109" spans="1:13" x14ac:dyDescent="0.25">
      <c r="A109">
        <v>3338</v>
      </c>
      <c r="B109" t="s">
        <v>134</v>
      </c>
      <c r="C109" t="s">
        <v>24</v>
      </c>
      <c r="D109" s="28">
        <v>45455</v>
      </c>
      <c r="E109" t="s">
        <v>328</v>
      </c>
      <c r="F109">
        <v>10</v>
      </c>
      <c r="G109" t="s">
        <v>315</v>
      </c>
      <c r="H109" t="s">
        <v>327</v>
      </c>
      <c r="I109" t="s">
        <v>309</v>
      </c>
      <c r="J109" t="s">
        <v>328</v>
      </c>
      <c r="K109">
        <v>20</v>
      </c>
      <c r="L109">
        <v>10</v>
      </c>
      <c r="M109">
        <v>20</v>
      </c>
    </row>
    <row r="110" spans="1:13" x14ac:dyDescent="0.25">
      <c r="A110">
        <v>3339</v>
      </c>
      <c r="B110" t="s">
        <v>135</v>
      </c>
      <c r="C110" t="s">
        <v>20</v>
      </c>
      <c r="D110" s="28">
        <v>45456</v>
      </c>
      <c r="E110" t="s">
        <v>327</v>
      </c>
      <c r="F110">
        <v>5</v>
      </c>
      <c r="G110" t="s">
        <v>317</v>
      </c>
      <c r="H110" t="s">
        <v>327</v>
      </c>
      <c r="I110" t="s">
        <v>309</v>
      </c>
      <c r="J110" t="s">
        <v>327</v>
      </c>
      <c r="K110">
        <v>0</v>
      </c>
      <c r="L110">
        <v>1</v>
      </c>
      <c r="M110">
        <v>4</v>
      </c>
    </row>
    <row r="111" spans="1:13" x14ac:dyDescent="0.25">
      <c r="A111">
        <v>3340</v>
      </c>
      <c r="B111" t="s">
        <v>136</v>
      </c>
      <c r="C111" t="s">
        <v>16</v>
      </c>
      <c r="D111" s="28">
        <v>45457</v>
      </c>
      <c r="E111" t="s">
        <v>328</v>
      </c>
      <c r="F111">
        <v>15</v>
      </c>
      <c r="G111" t="s">
        <v>316</v>
      </c>
      <c r="H111" t="s">
        <v>328</v>
      </c>
      <c r="I111">
        <v>30</v>
      </c>
      <c r="J111" t="s">
        <v>328</v>
      </c>
      <c r="K111">
        <v>20</v>
      </c>
      <c r="L111">
        <v>15</v>
      </c>
      <c r="M111">
        <v>50</v>
      </c>
    </row>
    <row r="112" spans="1:13" x14ac:dyDescent="0.25">
      <c r="A112">
        <v>3341</v>
      </c>
      <c r="B112" t="s">
        <v>137</v>
      </c>
      <c r="C112" t="s">
        <v>24</v>
      </c>
      <c r="D112" s="28">
        <v>45458</v>
      </c>
      <c r="E112" t="s">
        <v>327</v>
      </c>
      <c r="F112">
        <v>10</v>
      </c>
      <c r="G112" t="s">
        <v>316</v>
      </c>
      <c r="H112" t="s">
        <v>327</v>
      </c>
      <c r="I112" t="s">
        <v>309</v>
      </c>
      <c r="J112" t="s">
        <v>328</v>
      </c>
      <c r="K112">
        <v>20</v>
      </c>
      <c r="L112">
        <v>5</v>
      </c>
      <c r="M112">
        <v>25</v>
      </c>
    </row>
    <row r="113" spans="1:13" x14ac:dyDescent="0.25">
      <c r="A113">
        <v>3342</v>
      </c>
      <c r="B113" t="s">
        <v>138</v>
      </c>
      <c r="C113" t="s">
        <v>20</v>
      </c>
      <c r="D113" s="28">
        <v>45459</v>
      </c>
      <c r="E113" t="s">
        <v>328</v>
      </c>
      <c r="F113">
        <v>5</v>
      </c>
      <c r="G113" t="s">
        <v>315</v>
      </c>
      <c r="H113" t="s">
        <v>327</v>
      </c>
      <c r="I113" t="s">
        <v>309</v>
      </c>
      <c r="J113" t="s">
        <v>327</v>
      </c>
      <c r="K113">
        <v>0</v>
      </c>
      <c r="L113">
        <v>0</v>
      </c>
      <c r="M113">
        <v>5</v>
      </c>
    </row>
    <row r="114" spans="1:13" x14ac:dyDescent="0.25">
      <c r="A114">
        <v>3343</v>
      </c>
      <c r="B114" t="s">
        <v>139</v>
      </c>
      <c r="C114" t="s">
        <v>16</v>
      </c>
      <c r="D114" s="28">
        <v>45460</v>
      </c>
      <c r="E114" t="s">
        <v>327</v>
      </c>
      <c r="F114">
        <v>15</v>
      </c>
      <c r="G114" t="s">
        <v>317</v>
      </c>
      <c r="H114" t="s">
        <v>328</v>
      </c>
      <c r="I114">
        <v>30</v>
      </c>
      <c r="J114" t="s">
        <v>328</v>
      </c>
      <c r="K114">
        <v>20</v>
      </c>
      <c r="L114">
        <v>20</v>
      </c>
      <c r="M114">
        <v>45</v>
      </c>
    </row>
    <row r="115" spans="1:13" x14ac:dyDescent="0.25">
      <c r="A115">
        <v>3344</v>
      </c>
      <c r="B115" t="s">
        <v>140</v>
      </c>
      <c r="C115" t="s">
        <v>24</v>
      </c>
      <c r="D115" s="28">
        <v>45461</v>
      </c>
      <c r="E115" t="s">
        <v>328</v>
      </c>
      <c r="F115">
        <v>10</v>
      </c>
      <c r="G115" t="s">
        <v>317</v>
      </c>
      <c r="H115" t="s">
        <v>327</v>
      </c>
      <c r="I115" t="s">
        <v>309</v>
      </c>
      <c r="J115" t="s">
        <v>328</v>
      </c>
      <c r="K115">
        <v>20</v>
      </c>
      <c r="L115">
        <v>12</v>
      </c>
      <c r="M115">
        <v>18</v>
      </c>
    </row>
    <row r="116" spans="1:13" x14ac:dyDescent="0.25">
      <c r="A116">
        <v>3345</v>
      </c>
      <c r="B116" t="s">
        <v>141</v>
      </c>
      <c r="C116" t="s">
        <v>20</v>
      </c>
      <c r="D116" s="28">
        <v>45462</v>
      </c>
      <c r="E116" t="s">
        <v>327</v>
      </c>
      <c r="F116">
        <v>5</v>
      </c>
      <c r="G116" t="s">
        <v>316</v>
      </c>
      <c r="H116" t="s">
        <v>327</v>
      </c>
      <c r="I116" t="s">
        <v>309</v>
      </c>
      <c r="J116" t="s">
        <v>327</v>
      </c>
      <c r="K116">
        <v>0</v>
      </c>
      <c r="L116">
        <v>2</v>
      </c>
      <c r="M116">
        <v>3</v>
      </c>
    </row>
    <row r="117" spans="1:13" x14ac:dyDescent="0.25">
      <c r="A117">
        <v>3346</v>
      </c>
      <c r="B117" t="s">
        <v>142</v>
      </c>
      <c r="C117" t="s">
        <v>16</v>
      </c>
      <c r="D117" s="28">
        <v>45463</v>
      </c>
      <c r="E117" t="s">
        <v>328</v>
      </c>
      <c r="F117">
        <v>15</v>
      </c>
      <c r="G117" t="s">
        <v>315</v>
      </c>
      <c r="H117" t="s">
        <v>328</v>
      </c>
      <c r="I117">
        <v>30</v>
      </c>
      <c r="J117" t="s">
        <v>328</v>
      </c>
      <c r="K117">
        <v>20</v>
      </c>
      <c r="L117">
        <v>5</v>
      </c>
      <c r="M117">
        <v>60</v>
      </c>
    </row>
    <row r="118" spans="1:13" x14ac:dyDescent="0.25">
      <c r="A118">
        <v>3347</v>
      </c>
      <c r="B118" t="s">
        <v>143</v>
      </c>
      <c r="C118" t="s">
        <v>24</v>
      </c>
      <c r="D118" s="28">
        <v>45464</v>
      </c>
      <c r="E118" t="s">
        <v>327</v>
      </c>
      <c r="F118">
        <v>10</v>
      </c>
      <c r="G118" t="s">
        <v>316</v>
      </c>
      <c r="H118" t="s">
        <v>327</v>
      </c>
      <c r="I118" t="s">
        <v>309</v>
      </c>
      <c r="J118" t="s">
        <v>328</v>
      </c>
      <c r="K118">
        <v>20</v>
      </c>
      <c r="L118">
        <v>10</v>
      </c>
      <c r="M118">
        <v>20</v>
      </c>
    </row>
    <row r="119" spans="1:13" x14ac:dyDescent="0.25">
      <c r="A119">
        <v>3348</v>
      </c>
      <c r="B119" t="s">
        <v>144</v>
      </c>
      <c r="C119" t="s">
        <v>20</v>
      </c>
      <c r="D119" s="28">
        <v>45465</v>
      </c>
      <c r="E119" t="s">
        <v>328</v>
      </c>
      <c r="F119">
        <v>5</v>
      </c>
      <c r="G119" t="s">
        <v>317</v>
      </c>
      <c r="H119" t="s">
        <v>327</v>
      </c>
      <c r="I119" t="s">
        <v>309</v>
      </c>
      <c r="J119" t="s">
        <v>327</v>
      </c>
      <c r="K119">
        <v>0</v>
      </c>
      <c r="L119">
        <v>0</v>
      </c>
      <c r="M119">
        <v>5</v>
      </c>
    </row>
    <row r="120" spans="1:13" x14ac:dyDescent="0.25">
      <c r="A120">
        <v>3349</v>
      </c>
      <c r="B120" t="s">
        <v>120</v>
      </c>
      <c r="C120" t="s">
        <v>16</v>
      </c>
      <c r="D120" s="28">
        <v>45466</v>
      </c>
      <c r="E120" t="s">
        <v>327</v>
      </c>
      <c r="F120">
        <v>15</v>
      </c>
      <c r="G120" t="s">
        <v>316</v>
      </c>
      <c r="H120" t="s">
        <v>328</v>
      </c>
      <c r="I120">
        <v>30</v>
      </c>
      <c r="J120" t="s">
        <v>328</v>
      </c>
      <c r="K120">
        <v>20</v>
      </c>
      <c r="L120">
        <v>3</v>
      </c>
      <c r="M120">
        <v>62</v>
      </c>
    </row>
    <row r="121" spans="1:13" x14ac:dyDescent="0.25">
      <c r="A121">
        <v>3350</v>
      </c>
      <c r="B121" t="s">
        <v>145</v>
      </c>
      <c r="C121" t="s">
        <v>24</v>
      </c>
      <c r="D121" s="28">
        <v>45467</v>
      </c>
      <c r="E121" t="s">
        <v>328</v>
      </c>
      <c r="F121">
        <v>10</v>
      </c>
      <c r="G121" t="s">
        <v>315</v>
      </c>
      <c r="H121" t="s">
        <v>327</v>
      </c>
      <c r="I121" t="s">
        <v>309</v>
      </c>
      <c r="J121" t="s">
        <v>328</v>
      </c>
      <c r="K121">
        <v>20</v>
      </c>
      <c r="L121">
        <v>15</v>
      </c>
      <c r="M121">
        <v>15</v>
      </c>
    </row>
    <row r="122" spans="1:13" x14ac:dyDescent="0.25">
      <c r="A122">
        <v>3351</v>
      </c>
      <c r="B122" t="s">
        <v>146</v>
      </c>
      <c r="C122" t="s">
        <v>20</v>
      </c>
      <c r="D122" s="28">
        <v>45468</v>
      </c>
      <c r="E122" t="s">
        <v>327</v>
      </c>
      <c r="F122">
        <v>5</v>
      </c>
      <c r="G122" t="s">
        <v>316</v>
      </c>
      <c r="H122" t="s">
        <v>327</v>
      </c>
      <c r="I122" t="s">
        <v>309</v>
      </c>
      <c r="J122" t="s">
        <v>327</v>
      </c>
      <c r="K122">
        <v>0</v>
      </c>
      <c r="L122">
        <v>1</v>
      </c>
      <c r="M122">
        <v>4</v>
      </c>
    </row>
    <row r="123" spans="1:13" x14ac:dyDescent="0.25">
      <c r="A123">
        <v>3352</v>
      </c>
      <c r="B123" t="s">
        <v>147</v>
      </c>
      <c r="C123" t="s">
        <v>16</v>
      </c>
      <c r="D123" s="28">
        <v>45469</v>
      </c>
      <c r="E123" t="s">
        <v>328</v>
      </c>
      <c r="F123">
        <v>15</v>
      </c>
      <c r="G123" t="s">
        <v>317</v>
      </c>
      <c r="H123" t="s">
        <v>328</v>
      </c>
      <c r="I123">
        <v>30</v>
      </c>
      <c r="J123" t="s">
        <v>328</v>
      </c>
      <c r="K123">
        <v>20</v>
      </c>
      <c r="L123">
        <v>7</v>
      </c>
      <c r="M123">
        <v>58</v>
      </c>
    </row>
    <row r="124" spans="1:13" x14ac:dyDescent="0.25">
      <c r="A124">
        <v>3353</v>
      </c>
      <c r="B124" t="s">
        <v>148</v>
      </c>
      <c r="C124" t="s">
        <v>24</v>
      </c>
      <c r="D124" s="28">
        <v>45470</v>
      </c>
      <c r="E124" t="s">
        <v>327</v>
      </c>
      <c r="F124">
        <v>10</v>
      </c>
      <c r="G124" t="s">
        <v>316</v>
      </c>
      <c r="H124" t="s">
        <v>327</v>
      </c>
      <c r="I124" t="s">
        <v>309</v>
      </c>
      <c r="J124" t="s">
        <v>328</v>
      </c>
      <c r="K124">
        <v>20</v>
      </c>
      <c r="L124">
        <v>10</v>
      </c>
      <c r="M124">
        <v>20</v>
      </c>
    </row>
    <row r="125" spans="1:13" x14ac:dyDescent="0.25">
      <c r="A125">
        <v>3354</v>
      </c>
      <c r="B125" t="s">
        <v>149</v>
      </c>
      <c r="C125" t="s">
        <v>20</v>
      </c>
      <c r="D125" s="28">
        <v>45471</v>
      </c>
      <c r="E125" t="s">
        <v>328</v>
      </c>
      <c r="F125">
        <v>5</v>
      </c>
      <c r="G125" t="s">
        <v>315</v>
      </c>
      <c r="H125" t="s">
        <v>327</v>
      </c>
      <c r="I125" t="s">
        <v>309</v>
      </c>
      <c r="J125" t="s">
        <v>327</v>
      </c>
      <c r="K125">
        <v>0</v>
      </c>
      <c r="L125">
        <v>0</v>
      </c>
      <c r="M125">
        <v>5</v>
      </c>
    </row>
    <row r="126" spans="1:13" x14ac:dyDescent="0.25">
      <c r="A126">
        <v>3355</v>
      </c>
      <c r="B126" t="s">
        <v>150</v>
      </c>
      <c r="C126" t="s">
        <v>16</v>
      </c>
      <c r="D126" s="28">
        <v>45472</v>
      </c>
      <c r="E126" t="s">
        <v>327</v>
      </c>
      <c r="F126">
        <v>15</v>
      </c>
      <c r="G126" t="s">
        <v>316</v>
      </c>
      <c r="H126" t="s">
        <v>328</v>
      </c>
      <c r="I126">
        <v>30</v>
      </c>
      <c r="J126" t="s">
        <v>328</v>
      </c>
      <c r="K126">
        <v>20</v>
      </c>
      <c r="L126">
        <v>20</v>
      </c>
      <c r="M126">
        <v>45</v>
      </c>
    </row>
    <row r="127" spans="1:13" x14ac:dyDescent="0.25">
      <c r="A127">
        <v>3356</v>
      </c>
      <c r="B127" t="s">
        <v>151</v>
      </c>
      <c r="C127" t="s">
        <v>24</v>
      </c>
      <c r="D127" s="28">
        <v>45473</v>
      </c>
      <c r="E127" t="s">
        <v>328</v>
      </c>
      <c r="F127">
        <v>10</v>
      </c>
      <c r="G127" t="s">
        <v>317</v>
      </c>
      <c r="H127" t="s">
        <v>327</v>
      </c>
      <c r="I127" t="s">
        <v>309</v>
      </c>
      <c r="J127" t="s">
        <v>328</v>
      </c>
      <c r="K127">
        <v>20</v>
      </c>
      <c r="L127">
        <v>15</v>
      </c>
      <c r="M127">
        <v>15</v>
      </c>
    </row>
    <row r="128" spans="1:13" x14ac:dyDescent="0.25">
      <c r="A128">
        <v>3357</v>
      </c>
      <c r="B128" t="s">
        <v>152</v>
      </c>
      <c r="C128" t="s">
        <v>20</v>
      </c>
      <c r="D128" s="28">
        <v>45474</v>
      </c>
      <c r="E128" t="s">
        <v>327</v>
      </c>
      <c r="F128">
        <v>5</v>
      </c>
      <c r="G128" t="s">
        <v>316</v>
      </c>
      <c r="H128" t="s">
        <v>327</v>
      </c>
      <c r="I128" t="s">
        <v>309</v>
      </c>
      <c r="J128" t="s">
        <v>327</v>
      </c>
      <c r="K128">
        <v>0</v>
      </c>
      <c r="L128">
        <v>1</v>
      </c>
      <c r="M128">
        <v>4</v>
      </c>
    </row>
    <row r="129" spans="1:13" x14ac:dyDescent="0.25">
      <c r="A129">
        <v>3358</v>
      </c>
      <c r="B129" t="s">
        <v>153</v>
      </c>
      <c r="C129" t="s">
        <v>16</v>
      </c>
      <c r="D129" s="28">
        <v>45475</v>
      </c>
      <c r="E129" t="s">
        <v>328</v>
      </c>
      <c r="F129">
        <v>15</v>
      </c>
      <c r="G129" t="s">
        <v>315</v>
      </c>
      <c r="H129" t="s">
        <v>328</v>
      </c>
      <c r="I129">
        <v>30</v>
      </c>
      <c r="J129" t="s">
        <v>328</v>
      </c>
      <c r="K129">
        <v>20</v>
      </c>
      <c r="L129">
        <v>3</v>
      </c>
      <c r="M129">
        <v>62</v>
      </c>
    </row>
    <row r="130" spans="1:13" x14ac:dyDescent="0.25">
      <c r="A130">
        <v>3359</v>
      </c>
      <c r="B130" t="s">
        <v>154</v>
      </c>
      <c r="C130" t="s">
        <v>24</v>
      </c>
      <c r="D130" s="28">
        <v>45476</v>
      </c>
      <c r="E130" t="s">
        <v>327</v>
      </c>
      <c r="F130">
        <v>10</v>
      </c>
      <c r="G130" t="s">
        <v>316</v>
      </c>
      <c r="H130" t="s">
        <v>327</v>
      </c>
      <c r="I130" t="s">
        <v>309</v>
      </c>
      <c r="J130" t="s">
        <v>328</v>
      </c>
      <c r="K130">
        <v>20</v>
      </c>
      <c r="L130">
        <v>10</v>
      </c>
      <c r="M130">
        <v>20</v>
      </c>
    </row>
    <row r="131" spans="1:13" x14ac:dyDescent="0.25">
      <c r="A131">
        <v>3360</v>
      </c>
      <c r="B131" t="s">
        <v>155</v>
      </c>
      <c r="C131" t="s">
        <v>20</v>
      </c>
      <c r="D131" s="28">
        <v>45477</v>
      </c>
      <c r="E131" t="s">
        <v>328</v>
      </c>
      <c r="F131">
        <v>5</v>
      </c>
      <c r="G131" t="s">
        <v>317</v>
      </c>
      <c r="H131" t="s">
        <v>327</v>
      </c>
      <c r="I131" t="s">
        <v>309</v>
      </c>
      <c r="J131" t="s">
        <v>327</v>
      </c>
      <c r="K131">
        <v>0</v>
      </c>
      <c r="L131">
        <v>0</v>
      </c>
      <c r="M131">
        <v>5</v>
      </c>
    </row>
    <row r="132" spans="1:13" x14ac:dyDescent="0.25">
      <c r="A132">
        <v>3361</v>
      </c>
      <c r="B132" t="s">
        <v>156</v>
      </c>
      <c r="C132" t="s">
        <v>16</v>
      </c>
      <c r="D132" s="28">
        <v>45478</v>
      </c>
      <c r="E132" t="s">
        <v>327</v>
      </c>
      <c r="F132">
        <v>15</v>
      </c>
      <c r="G132" t="s">
        <v>316</v>
      </c>
      <c r="H132" t="s">
        <v>328</v>
      </c>
      <c r="I132">
        <v>30</v>
      </c>
      <c r="J132" t="s">
        <v>328</v>
      </c>
      <c r="K132">
        <v>20</v>
      </c>
      <c r="L132">
        <v>15</v>
      </c>
      <c r="M132">
        <v>50</v>
      </c>
    </row>
    <row r="133" spans="1:13" x14ac:dyDescent="0.25">
      <c r="A133">
        <v>3362</v>
      </c>
      <c r="B133" t="s">
        <v>157</v>
      </c>
      <c r="C133" t="s">
        <v>24</v>
      </c>
      <c r="D133" s="28">
        <v>45479</v>
      </c>
      <c r="E133" t="s">
        <v>328</v>
      </c>
      <c r="F133">
        <v>10</v>
      </c>
      <c r="G133" t="s">
        <v>315</v>
      </c>
      <c r="H133" t="s">
        <v>327</v>
      </c>
      <c r="I133" t="s">
        <v>309</v>
      </c>
      <c r="J133" t="s">
        <v>328</v>
      </c>
      <c r="K133">
        <v>20</v>
      </c>
      <c r="L133">
        <v>15</v>
      </c>
      <c r="M133">
        <v>15</v>
      </c>
    </row>
    <row r="134" spans="1:13" x14ac:dyDescent="0.25">
      <c r="A134">
        <v>3363</v>
      </c>
      <c r="B134" t="s">
        <v>158</v>
      </c>
      <c r="C134" t="s">
        <v>20</v>
      </c>
      <c r="D134" s="28">
        <v>45480</v>
      </c>
      <c r="E134" t="s">
        <v>327</v>
      </c>
      <c r="F134">
        <v>5</v>
      </c>
      <c r="G134" t="s">
        <v>316</v>
      </c>
      <c r="H134" t="s">
        <v>327</v>
      </c>
      <c r="I134" t="s">
        <v>309</v>
      </c>
      <c r="J134" t="s">
        <v>327</v>
      </c>
      <c r="K134">
        <v>0</v>
      </c>
      <c r="L134">
        <v>1</v>
      </c>
      <c r="M134">
        <v>4</v>
      </c>
    </row>
    <row r="135" spans="1:13" x14ac:dyDescent="0.25">
      <c r="A135">
        <v>3364</v>
      </c>
      <c r="B135" t="s">
        <v>159</v>
      </c>
      <c r="C135" t="s">
        <v>16</v>
      </c>
      <c r="D135" s="28">
        <v>45481</v>
      </c>
      <c r="E135" t="s">
        <v>328</v>
      </c>
      <c r="F135">
        <v>15</v>
      </c>
      <c r="G135" t="s">
        <v>317</v>
      </c>
      <c r="H135" t="s">
        <v>328</v>
      </c>
      <c r="I135">
        <v>30</v>
      </c>
      <c r="J135" t="s">
        <v>328</v>
      </c>
      <c r="K135">
        <v>20</v>
      </c>
      <c r="L135">
        <v>7</v>
      </c>
      <c r="M135">
        <v>58</v>
      </c>
    </row>
    <row r="136" spans="1:13" x14ac:dyDescent="0.25">
      <c r="A136">
        <v>3365</v>
      </c>
      <c r="B136" t="s">
        <v>160</v>
      </c>
      <c r="C136" t="s">
        <v>24</v>
      </c>
      <c r="D136" s="28">
        <v>45482</v>
      </c>
      <c r="E136" t="s">
        <v>327</v>
      </c>
      <c r="F136">
        <v>10</v>
      </c>
      <c r="G136" t="s">
        <v>316</v>
      </c>
      <c r="H136" t="s">
        <v>327</v>
      </c>
      <c r="I136" t="s">
        <v>309</v>
      </c>
      <c r="J136" t="s">
        <v>328</v>
      </c>
      <c r="K136">
        <v>20</v>
      </c>
      <c r="L136">
        <v>10</v>
      </c>
      <c r="M136">
        <v>20</v>
      </c>
    </row>
    <row r="137" spans="1:13" x14ac:dyDescent="0.25">
      <c r="A137">
        <v>3366</v>
      </c>
      <c r="B137" t="s">
        <v>161</v>
      </c>
      <c r="C137" t="s">
        <v>20</v>
      </c>
      <c r="D137" s="28">
        <v>45483</v>
      </c>
      <c r="E137" t="s">
        <v>328</v>
      </c>
      <c r="F137">
        <v>5</v>
      </c>
      <c r="G137" t="s">
        <v>316</v>
      </c>
      <c r="H137" t="s">
        <v>327</v>
      </c>
      <c r="I137" t="s">
        <v>309</v>
      </c>
      <c r="J137" t="s">
        <v>327</v>
      </c>
      <c r="K137">
        <v>0</v>
      </c>
      <c r="L137">
        <v>0</v>
      </c>
      <c r="M137">
        <v>5</v>
      </c>
    </row>
    <row r="138" spans="1:13" x14ac:dyDescent="0.25">
      <c r="A138">
        <v>3367</v>
      </c>
      <c r="B138" t="s">
        <v>162</v>
      </c>
      <c r="C138" t="s">
        <v>16</v>
      </c>
      <c r="D138" s="28">
        <v>45484</v>
      </c>
      <c r="E138" t="s">
        <v>327</v>
      </c>
      <c r="F138">
        <v>15</v>
      </c>
      <c r="G138" t="s">
        <v>317</v>
      </c>
      <c r="H138" t="s">
        <v>328</v>
      </c>
      <c r="I138">
        <v>30</v>
      </c>
      <c r="J138" t="s">
        <v>328</v>
      </c>
      <c r="K138">
        <v>20</v>
      </c>
      <c r="L138">
        <v>7</v>
      </c>
      <c r="M138">
        <v>58</v>
      </c>
    </row>
    <row r="139" spans="1:13" x14ac:dyDescent="0.25">
      <c r="A139">
        <v>3368</v>
      </c>
      <c r="B139" t="s">
        <v>163</v>
      </c>
      <c r="C139" t="s">
        <v>24</v>
      </c>
      <c r="D139" s="28">
        <v>45485</v>
      </c>
      <c r="E139" t="s">
        <v>328</v>
      </c>
      <c r="F139">
        <v>10</v>
      </c>
      <c r="G139" t="s">
        <v>315</v>
      </c>
      <c r="H139" t="s">
        <v>327</v>
      </c>
      <c r="I139" t="s">
        <v>309</v>
      </c>
      <c r="J139" t="s">
        <v>328</v>
      </c>
      <c r="K139">
        <v>20</v>
      </c>
      <c r="L139">
        <v>10</v>
      </c>
      <c r="M139">
        <v>20</v>
      </c>
    </row>
    <row r="140" spans="1:13" x14ac:dyDescent="0.25">
      <c r="A140">
        <v>3369</v>
      </c>
      <c r="B140" t="s">
        <v>164</v>
      </c>
      <c r="C140" t="s">
        <v>20</v>
      </c>
      <c r="D140" s="28">
        <v>45486</v>
      </c>
      <c r="E140" t="s">
        <v>327</v>
      </c>
      <c r="F140">
        <v>5</v>
      </c>
      <c r="G140" t="s">
        <v>317</v>
      </c>
      <c r="H140" t="s">
        <v>327</v>
      </c>
      <c r="I140" t="s">
        <v>309</v>
      </c>
      <c r="J140" t="s">
        <v>327</v>
      </c>
      <c r="K140">
        <v>0</v>
      </c>
      <c r="L140">
        <v>1</v>
      </c>
      <c r="M140">
        <v>4</v>
      </c>
    </row>
    <row r="141" spans="1:13" x14ac:dyDescent="0.25">
      <c r="A141">
        <v>3370</v>
      </c>
      <c r="B141" t="s">
        <v>165</v>
      </c>
      <c r="C141" t="s">
        <v>16</v>
      </c>
      <c r="D141" s="28">
        <v>45487</v>
      </c>
      <c r="E141" t="s">
        <v>328</v>
      </c>
      <c r="F141">
        <v>15</v>
      </c>
      <c r="G141" t="s">
        <v>316</v>
      </c>
      <c r="H141" t="s">
        <v>328</v>
      </c>
      <c r="I141">
        <v>30</v>
      </c>
      <c r="J141" t="s">
        <v>328</v>
      </c>
      <c r="K141">
        <v>20</v>
      </c>
      <c r="L141">
        <v>15</v>
      </c>
      <c r="M141">
        <v>50</v>
      </c>
    </row>
    <row r="142" spans="1:13" x14ac:dyDescent="0.25">
      <c r="A142">
        <v>3371</v>
      </c>
      <c r="B142" t="s">
        <v>166</v>
      </c>
      <c r="C142" t="s">
        <v>24</v>
      </c>
      <c r="D142" s="28">
        <v>45488</v>
      </c>
      <c r="E142" t="s">
        <v>327</v>
      </c>
      <c r="F142">
        <v>10</v>
      </c>
      <c r="G142" t="s">
        <v>316</v>
      </c>
      <c r="H142" t="s">
        <v>327</v>
      </c>
      <c r="I142" t="s">
        <v>309</v>
      </c>
      <c r="J142" t="s">
        <v>328</v>
      </c>
      <c r="K142">
        <v>20</v>
      </c>
      <c r="L142">
        <v>5</v>
      </c>
      <c r="M142">
        <v>25</v>
      </c>
    </row>
    <row r="143" spans="1:13" x14ac:dyDescent="0.25">
      <c r="A143">
        <v>3372</v>
      </c>
      <c r="B143" t="s">
        <v>167</v>
      </c>
      <c r="C143" t="s">
        <v>20</v>
      </c>
      <c r="D143" s="28">
        <v>45489</v>
      </c>
      <c r="E143" t="s">
        <v>328</v>
      </c>
      <c r="F143">
        <v>5</v>
      </c>
      <c r="G143" t="s">
        <v>315</v>
      </c>
      <c r="H143" t="s">
        <v>327</v>
      </c>
      <c r="I143" t="s">
        <v>309</v>
      </c>
      <c r="J143" t="s">
        <v>327</v>
      </c>
      <c r="K143">
        <v>0</v>
      </c>
      <c r="L143">
        <v>0</v>
      </c>
      <c r="M143">
        <v>5</v>
      </c>
    </row>
    <row r="144" spans="1:13" x14ac:dyDescent="0.25">
      <c r="A144">
        <v>3373</v>
      </c>
      <c r="B144" t="s">
        <v>168</v>
      </c>
      <c r="C144" t="s">
        <v>16</v>
      </c>
      <c r="D144" s="28">
        <v>45490</v>
      </c>
      <c r="E144" t="s">
        <v>327</v>
      </c>
      <c r="F144">
        <v>15</v>
      </c>
      <c r="G144" t="s">
        <v>317</v>
      </c>
      <c r="H144" t="s">
        <v>328</v>
      </c>
      <c r="I144">
        <v>30</v>
      </c>
      <c r="J144" t="s">
        <v>328</v>
      </c>
      <c r="K144">
        <v>20</v>
      </c>
      <c r="L144">
        <v>20</v>
      </c>
      <c r="M144">
        <v>45</v>
      </c>
    </row>
    <row r="145" spans="1:13" x14ac:dyDescent="0.25">
      <c r="A145">
        <v>3374</v>
      </c>
      <c r="B145" t="s">
        <v>169</v>
      </c>
      <c r="C145" t="s">
        <v>24</v>
      </c>
      <c r="D145" s="28">
        <v>45491</v>
      </c>
      <c r="E145" t="s">
        <v>328</v>
      </c>
      <c r="F145">
        <v>10</v>
      </c>
      <c r="G145" t="s">
        <v>317</v>
      </c>
      <c r="H145" t="s">
        <v>327</v>
      </c>
      <c r="I145" t="s">
        <v>309</v>
      </c>
      <c r="J145" t="s">
        <v>328</v>
      </c>
      <c r="K145">
        <v>20</v>
      </c>
      <c r="L145">
        <v>12</v>
      </c>
      <c r="M145">
        <v>18</v>
      </c>
    </row>
    <row r="146" spans="1:13" x14ac:dyDescent="0.25">
      <c r="A146">
        <v>3375</v>
      </c>
      <c r="B146" t="s">
        <v>170</v>
      </c>
      <c r="C146" t="s">
        <v>20</v>
      </c>
      <c r="D146" s="28">
        <v>45492</v>
      </c>
      <c r="E146" t="s">
        <v>327</v>
      </c>
      <c r="F146">
        <v>5</v>
      </c>
      <c r="G146" t="s">
        <v>316</v>
      </c>
      <c r="H146" t="s">
        <v>327</v>
      </c>
      <c r="I146" t="s">
        <v>309</v>
      </c>
      <c r="J146" t="s">
        <v>327</v>
      </c>
      <c r="K146">
        <v>0</v>
      </c>
      <c r="L146">
        <v>2</v>
      </c>
      <c r="M146">
        <v>3</v>
      </c>
    </row>
    <row r="147" spans="1:13" x14ac:dyDescent="0.25">
      <c r="A147">
        <v>3376</v>
      </c>
      <c r="B147" t="s">
        <v>171</v>
      </c>
      <c r="C147" t="s">
        <v>16</v>
      </c>
      <c r="D147" s="28">
        <v>45493</v>
      </c>
      <c r="E147" t="s">
        <v>328</v>
      </c>
      <c r="F147">
        <v>15</v>
      </c>
      <c r="G147" t="s">
        <v>315</v>
      </c>
      <c r="H147" t="s">
        <v>328</v>
      </c>
      <c r="I147">
        <v>30</v>
      </c>
      <c r="J147" t="s">
        <v>328</v>
      </c>
      <c r="K147">
        <v>20</v>
      </c>
      <c r="L147">
        <v>5</v>
      </c>
      <c r="M147">
        <v>60</v>
      </c>
    </row>
    <row r="148" spans="1:13" x14ac:dyDescent="0.25">
      <c r="A148">
        <v>3377</v>
      </c>
      <c r="B148" t="s">
        <v>172</v>
      </c>
      <c r="C148" t="s">
        <v>24</v>
      </c>
      <c r="D148" s="28">
        <v>45494</v>
      </c>
      <c r="E148" t="s">
        <v>327</v>
      </c>
      <c r="F148">
        <v>10</v>
      </c>
      <c r="G148" t="s">
        <v>316</v>
      </c>
      <c r="H148" t="s">
        <v>327</v>
      </c>
      <c r="I148" t="s">
        <v>309</v>
      </c>
      <c r="J148" t="s">
        <v>328</v>
      </c>
      <c r="K148">
        <v>20</v>
      </c>
      <c r="L148">
        <v>10</v>
      </c>
      <c r="M148">
        <v>20</v>
      </c>
    </row>
    <row r="149" spans="1:13" x14ac:dyDescent="0.25">
      <c r="A149">
        <v>3378</v>
      </c>
      <c r="B149" t="s">
        <v>173</v>
      </c>
      <c r="C149" t="s">
        <v>20</v>
      </c>
      <c r="D149" s="28">
        <v>45495</v>
      </c>
      <c r="E149" t="s">
        <v>328</v>
      </c>
      <c r="F149">
        <v>5</v>
      </c>
      <c r="G149" t="s">
        <v>317</v>
      </c>
      <c r="H149" t="s">
        <v>327</v>
      </c>
      <c r="I149" t="s">
        <v>309</v>
      </c>
      <c r="J149" t="s">
        <v>327</v>
      </c>
      <c r="K149">
        <v>0</v>
      </c>
      <c r="L149">
        <v>0</v>
      </c>
      <c r="M149">
        <v>5</v>
      </c>
    </row>
    <row r="150" spans="1:13" x14ac:dyDescent="0.25">
      <c r="A150">
        <v>3379</v>
      </c>
      <c r="B150" t="s">
        <v>174</v>
      </c>
      <c r="C150" t="s">
        <v>16</v>
      </c>
      <c r="D150" s="28">
        <v>45496</v>
      </c>
      <c r="E150" t="s">
        <v>327</v>
      </c>
      <c r="F150">
        <v>15</v>
      </c>
      <c r="G150" t="s">
        <v>316</v>
      </c>
      <c r="H150" t="s">
        <v>328</v>
      </c>
      <c r="I150">
        <v>30</v>
      </c>
      <c r="J150" t="s">
        <v>328</v>
      </c>
      <c r="K150">
        <v>20</v>
      </c>
      <c r="L150">
        <v>3</v>
      </c>
      <c r="M150">
        <v>62</v>
      </c>
    </row>
    <row r="151" spans="1:13" x14ac:dyDescent="0.25">
      <c r="A151">
        <v>3380</v>
      </c>
      <c r="B151" t="s">
        <v>175</v>
      </c>
      <c r="C151" t="s">
        <v>24</v>
      </c>
      <c r="D151" s="28">
        <v>45497</v>
      </c>
      <c r="E151" t="s">
        <v>328</v>
      </c>
      <c r="F151">
        <v>10</v>
      </c>
      <c r="G151" t="s">
        <v>315</v>
      </c>
      <c r="H151" t="s">
        <v>327</v>
      </c>
      <c r="I151" t="s">
        <v>309</v>
      </c>
      <c r="J151" t="s">
        <v>328</v>
      </c>
      <c r="K151">
        <v>20</v>
      </c>
      <c r="L151">
        <v>15</v>
      </c>
      <c r="M151">
        <v>15</v>
      </c>
    </row>
    <row r="152" spans="1:13" x14ac:dyDescent="0.25">
      <c r="A152">
        <v>3381</v>
      </c>
      <c r="B152" t="s">
        <v>176</v>
      </c>
      <c r="C152" t="s">
        <v>20</v>
      </c>
      <c r="D152" s="28">
        <v>45498</v>
      </c>
      <c r="E152" t="s">
        <v>327</v>
      </c>
      <c r="F152">
        <v>5</v>
      </c>
      <c r="G152" t="s">
        <v>316</v>
      </c>
      <c r="H152" t="s">
        <v>327</v>
      </c>
      <c r="I152" t="s">
        <v>309</v>
      </c>
      <c r="J152" t="s">
        <v>327</v>
      </c>
      <c r="K152">
        <v>0</v>
      </c>
      <c r="L152">
        <v>1</v>
      </c>
      <c r="M152">
        <v>4</v>
      </c>
    </row>
    <row r="153" spans="1:13" x14ac:dyDescent="0.25">
      <c r="A153">
        <v>3382</v>
      </c>
      <c r="B153" t="s">
        <v>177</v>
      </c>
      <c r="C153" t="s">
        <v>16</v>
      </c>
      <c r="D153" s="28">
        <v>45499</v>
      </c>
      <c r="E153" t="s">
        <v>328</v>
      </c>
      <c r="F153">
        <v>15</v>
      </c>
      <c r="G153" t="s">
        <v>317</v>
      </c>
      <c r="H153" t="s">
        <v>328</v>
      </c>
      <c r="I153">
        <v>30</v>
      </c>
      <c r="J153" t="s">
        <v>328</v>
      </c>
      <c r="K153">
        <v>20</v>
      </c>
      <c r="L153">
        <v>7</v>
      </c>
      <c r="M153">
        <v>58</v>
      </c>
    </row>
    <row r="154" spans="1:13" x14ac:dyDescent="0.25">
      <c r="A154">
        <v>3383</v>
      </c>
      <c r="B154" t="s">
        <v>178</v>
      </c>
      <c r="C154" t="s">
        <v>24</v>
      </c>
      <c r="D154" s="28">
        <v>45500</v>
      </c>
      <c r="E154" t="s">
        <v>327</v>
      </c>
      <c r="F154">
        <v>10</v>
      </c>
      <c r="G154" t="s">
        <v>316</v>
      </c>
      <c r="H154" t="s">
        <v>327</v>
      </c>
      <c r="I154" t="s">
        <v>309</v>
      </c>
      <c r="J154" t="s">
        <v>328</v>
      </c>
      <c r="K154">
        <v>20</v>
      </c>
      <c r="L154">
        <v>10</v>
      </c>
      <c r="M154">
        <v>20</v>
      </c>
    </row>
    <row r="155" spans="1:13" x14ac:dyDescent="0.25">
      <c r="A155">
        <v>3384</v>
      </c>
      <c r="B155" t="s">
        <v>179</v>
      </c>
      <c r="C155" t="s">
        <v>20</v>
      </c>
      <c r="D155" s="28">
        <v>45501</v>
      </c>
      <c r="E155" t="s">
        <v>328</v>
      </c>
      <c r="F155">
        <v>5</v>
      </c>
      <c r="G155" t="s">
        <v>315</v>
      </c>
      <c r="H155" t="s">
        <v>327</v>
      </c>
      <c r="I155" t="s">
        <v>309</v>
      </c>
      <c r="J155" t="s">
        <v>327</v>
      </c>
      <c r="K155">
        <v>0</v>
      </c>
      <c r="L155">
        <v>0</v>
      </c>
      <c r="M155">
        <v>5</v>
      </c>
    </row>
    <row r="156" spans="1:13" x14ac:dyDescent="0.25">
      <c r="A156">
        <v>3385</v>
      </c>
      <c r="B156" t="s">
        <v>180</v>
      </c>
      <c r="C156" t="s">
        <v>16</v>
      </c>
      <c r="D156" s="28">
        <v>45502</v>
      </c>
      <c r="E156" t="s">
        <v>327</v>
      </c>
      <c r="F156">
        <v>15</v>
      </c>
      <c r="G156" t="s">
        <v>316</v>
      </c>
      <c r="H156" t="s">
        <v>328</v>
      </c>
      <c r="I156">
        <v>30</v>
      </c>
      <c r="J156" t="s">
        <v>328</v>
      </c>
      <c r="K156">
        <v>20</v>
      </c>
      <c r="L156">
        <v>20</v>
      </c>
      <c r="M156">
        <v>45</v>
      </c>
    </row>
    <row r="157" spans="1:13" x14ac:dyDescent="0.25">
      <c r="A157">
        <v>3386</v>
      </c>
      <c r="B157" t="s">
        <v>181</v>
      </c>
      <c r="C157" t="s">
        <v>24</v>
      </c>
      <c r="D157" s="28">
        <v>45503</v>
      </c>
      <c r="E157" t="s">
        <v>328</v>
      </c>
      <c r="F157">
        <v>10</v>
      </c>
      <c r="G157" t="s">
        <v>317</v>
      </c>
      <c r="H157" t="s">
        <v>327</v>
      </c>
      <c r="I157" t="s">
        <v>309</v>
      </c>
      <c r="J157" t="s">
        <v>328</v>
      </c>
      <c r="K157">
        <v>20</v>
      </c>
      <c r="L157">
        <v>15</v>
      </c>
      <c r="M157">
        <v>15</v>
      </c>
    </row>
    <row r="158" spans="1:13" x14ac:dyDescent="0.25">
      <c r="A158">
        <v>3387</v>
      </c>
      <c r="B158" t="s">
        <v>182</v>
      </c>
      <c r="C158" t="s">
        <v>20</v>
      </c>
      <c r="D158" s="28">
        <v>45504</v>
      </c>
      <c r="E158" t="s">
        <v>327</v>
      </c>
      <c r="F158">
        <v>5</v>
      </c>
      <c r="G158" t="s">
        <v>316</v>
      </c>
      <c r="H158" t="s">
        <v>327</v>
      </c>
      <c r="I158" t="s">
        <v>309</v>
      </c>
      <c r="J158" t="s">
        <v>327</v>
      </c>
      <c r="K158">
        <v>0</v>
      </c>
      <c r="L158">
        <v>1</v>
      </c>
      <c r="M158">
        <v>4</v>
      </c>
    </row>
    <row r="159" spans="1:13" x14ac:dyDescent="0.25">
      <c r="A159">
        <v>3388</v>
      </c>
      <c r="B159" t="s">
        <v>183</v>
      </c>
      <c r="C159" t="s">
        <v>16</v>
      </c>
      <c r="D159" s="28">
        <v>45505</v>
      </c>
      <c r="E159" t="s">
        <v>328</v>
      </c>
      <c r="F159">
        <v>15</v>
      </c>
      <c r="G159" t="s">
        <v>315</v>
      </c>
      <c r="H159" t="s">
        <v>328</v>
      </c>
      <c r="I159">
        <v>30</v>
      </c>
      <c r="J159" t="s">
        <v>328</v>
      </c>
      <c r="K159">
        <v>20</v>
      </c>
      <c r="L159">
        <v>3</v>
      </c>
      <c r="M159">
        <v>62</v>
      </c>
    </row>
    <row r="160" spans="1:13" x14ac:dyDescent="0.25">
      <c r="A160">
        <v>3389</v>
      </c>
      <c r="B160" t="s">
        <v>184</v>
      </c>
      <c r="C160" t="s">
        <v>24</v>
      </c>
      <c r="D160" s="28">
        <v>45506</v>
      </c>
      <c r="E160" t="s">
        <v>327</v>
      </c>
      <c r="F160">
        <v>10</v>
      </c>
      <c r="G160" t="s">
        <v>316</v>
      </c>
      <c r="H160" t="s">
        <v>327</v>
      </c>
      <c r="I160" t="s">
        <v>309</v>
      </c>
      <c r="J160" t="s">
        <v>328</v>
      </c>
      <c r="K160">
        <v>20</v>
      </c>
      <c r="L160">
        <v>10</v>
      </c>
      <c r="M160">
        <v>20</v>
      </c>
    </row>
    <row r="161" spans="1:13" x14ac:dyDescent="0.25">
      <c r="A161">
        <v>3390</v>
      </c>
      <c r="B161" t="s">
        <v>185</v>
      </c>
      <c r="C161" t="s">
        <v>20</v>
      </c>
      <c r="D161" s="28">
        <v>45507</v>
      </c>
      <c r="E161" t="s">
        <v>328</v>
      </c>
      <c r="F161">
        <v>5</v>
      </c>
      <c r="G161" t="s">
        <v>317</v>
      </c>
      <c r="H161" t="s">
        <v>327</v>
      </c>
      <c r="I161" t="s">
        <v>309</v>
      </c>
      <c r="J161" t="s">
        <v>327</v>
      </c>
      <c r="K161">
        <v>0</v>
      </c>
      <c r="L161">
        <v>0</v>
      </c>
      <c r="M161">
        <v>5</v>
      </c>
    </row>
    <row r="162" spans="1:13" x14ac:dyDescent="0.25">
      <c r="A162">
        <v>3391</v>
      </c>
      <c r="B162" t="s">
        <v>85</v>
      </c>
      <c r="C162" t="s">
        <v>16</v>
      </c>
      <c r="D162" s="28">
        <v>45508</v>
      </c>
      <c r="E162" t="s">
        <v>327</v>
      </c>
      <c r="F162">
        <v>15</v>
      </c>
      <c r="G162" t="s">
        <v>316</v>
      </c>
      <c r="H162" t="s">
        <v>328</v>
      </c>
      <c r="I162">
        <v>30</v>
      </c>
      <c r="J162" t="s">
        <v>328</v>
      </c>
      <c r="K162">
        <v>20</v>
      </c>
      <c r="L162">
        <v>15</v>
      </c>
      <c r="M162">
        <v>50</v>
      </c>
    </row>
    <row r="163" spans="1:13" x14ac:dyDescent="0.25">
      <c r="A163">
        <v>3392</v>
      </c>
      <c r="B163" t="s">
        <v>186</v>
      </c>
      <c r="C163" t="s">
        <v>24</v>
      </c>
      <c r="D163" s="28">
        <v>45509</v>
      </c>
      <c r="E163" t="s">
        <v>328</v>
      </c>
      <c r="F163">
        <v>10</v>
      </c>
      <c r="G163" t="s">
        <v>315</v>
      </c>
      <c r="H163" t="s">
        <v>327</v>
      </c>
      <c r="I163" t="s">
        <v>309</v>
      </c>
      <c r="J163" t="s">
        <v>328</v>
      </c>
      <c r="K163">
        <v>20</v>
      </c>
      <c r="L163">
        <v>15</v>
      </c>
      <c r="M163">
        <v>15</v>
      </c>
    </row>
    <row r="164" spans="1:13" x14ac:dyDescent="0.25">
      <c r="A164">
        <v>3393</v>
      </c>
      <c r="B164" t="s">
        <v>187</v>
      </c>
      <c r="C164" t="s">
        <v>20</v>
      </c>
      <c r="D164" s="28">
        <v>45510</v>
      </c>
      <c r="E164" t="s">
        <v>327</v>
      </c>
      <c r="F164">
        <v>5</v>
      </c>
      <c r="G164" t="s">
        <v>316</v>
      </c>
      <c r="H164" t="s">
        <v>327</v>
      </c>
      <c r="I164" t="s">
        <v>309</v>
      </c>
      <c r="J164" t="s">
        <v>327</v>
      </c>
      <c r="K164">
        <v>0</v>
      </c>
      <c r="L164">
        <v>1</v>
      </c>
      <c r="M164">
        <v>4</v>
      </c>
    </row>
    <row r="165" spans="1:13" x14ac:dyDescent="0.25">
      <c r="A165">
        <v>3394</v>
      </c>
      <c r="B165" t="s">
        <v>188</v>
      </c>
      <c r="C165" t="s">
        <v>16</v>
      </c>
      <c r="D165" s="28">
        <v>45511</v>
      </c>
      <c r="E165" t="s">
        <v>328</v>
      </c>
      <c r="F165">
        <v>15</v>
      </c>
      <c r="G165" t="s">
        <v>317</v>
      </c>
      <c r="H165" t="s">
        <v>328</v>
      </c>
      <c r="I165">
        <v>30</v>
      </c>
      <c r="J165" t="s">
        <v>328</v>
      </c>
      <c r="K165">
        <v>20</v>
      </c>
      <c r="L165">
        <v>7</v>
      </c>
      <c r="M165">
        <v>58</v>
      </c>
    </row>
    <row r="166" spans="1:13" x14ac:dyDescent="0.25">
      <c r="A166">
        <v>3395</v>
      </c>
      <c r="B166" t="s">
        <v>189</v>
      </c>
      <c r="C166" t="s">
        <v>24</v>
      </c>
      <c r="D166" s="28">
        <v>45512</v>
      </c>
      <c r="E166" t="s">
        <v>327</v>
      </c>
      <c r="F166">
        <v>10</v>
      </c>
      <c r="G166" t="s">
        <v>316</v>
      </c>
      <c r="H166" t="s">
        <v>327</v>
      </c>
      <c r="I166" t="s">
        <v>309</v>
      </c>
      <c r="J166" t="s">
        <v>328</v>
      </c>
      <c r="K166">
        <v>20</v>
      </c>
      <c r="L166">
        <v>10</v>
      </c>
      <c r="M166">
        <v>20</v>
      </c>
    </row>
    <row r="167" spans="1:13" x14ac:dyDescent="0.25">
      <c r="A167">
        <v>3396</v>
      </c>
      <c r="B167" t="s">
        <v>190</v>
      </c>
      <c r="C167" t="s">
        <v>20</v>
      </c>
      <c r="D167" s="28">
        <v>45513</v>
      </c>
      <c r="E167" t="s">
        <v>328</v>
      </c>
      <c r="F167">
        <v>5</v>
      </c>
      <c r="G167" t="s">
        <v>315</v>
      </c>
      <c r="H167" t="s">
        <v>327</v>
      </c>
      <c r="I167" t="s">
        <v>309</v>
      </c>
      <c r="J167" t="s">
        <v>327</v>
      </c>
      <c r="K167">
        <v>0</v>
      </c>
      <c r="L167">
        <v>0</v>
      </c>
      <c r="M167">
        <v>5</v>
      </c>
    </row>
    <row r="168" spans="1:13" x14ac:dyDescent="0.25">
      <c r="A168">
        <v>3397</v>
      </c>
      <c r="B168" t="s">
        <v>117</v>
      </c>
      <c r="C168" t="s">
        <v>16</v>
      </c>
      <c r="D168" s="28">
        <v>45514</v>
      </c>
      <c r="E168" t="s">
        <v>327</v>
      </c>
      <c r="F168">
        <v>15</v>
      </c>
      <c r="G168" t="s">
        <v>316</v>
      </c>
      <c r="H168" t="s">
        <v>328</v>
      </c>
      <c r="I168">
        <v>30</v>
      </c>
      <c r="J168" t="s">
        <v>328</v>
      </c>
      <c r="K168">
        <v>20</v>
      </c>
      <c r="L168">
        <v>20</v>
      </c>
      <c r="M168">
        <v>45</v>
      </c>
    </row>
    <row r="169" spans="1:13" x14ac:dyDescent="0.25">
      <c r="A169">
        <v>3398</v>
      </c>
      <c r="B169" t="s">
        <v>191</v>
      </c>
      <c r="C169" t="s">
        <v>24</v>
      </c>
      <c r="D169" s="28">
        <v>45515</v>
      </c>
      <c r="E169" t="s">
        <v>328</v>
      </c>
      <c r="F169">
        <v>10</v>
      </c>
      <c r="G169" t="s">
        <v>317</v>
      </c>
      <c r="H169" t="s">
        <v>327</v>
      </c>
      <c r="I169" t="s">
        <v>309</v>
      </c>
      <c r="J169" t="s">
        <v>328</v>
      </c>
      <c r="K169">
        <v>20</v>
      </c>
      <c r="L169">
        <v>15</v>
      </c>
      <c r="M169">
        <v>15</v>
      </c>
    </row>
    <row r="170" spans="1:13" x14ac:dyDescent="0.25">
      <c r="A170">
        <v>3399</v>
      </c>
      <c r="B170" t="s">
        <v>192</v>
      </c>
      <c r="C170" t="s">
        <v>20</v>
      </c>
      <c r="D170" s="28">
        <v>45516</v>
      </c>
      <c r="E170" t="s">
        <v>327</v>
      </c>
      <c r="F170">
        <v>5</v>
      </c>
      <c r="G170" t="s">
        <v>316</v>
      </c>
      <c r="H170" t="s">
        <v>327</v>
      </c>
      <c r="I170" t="s">
        <v>309</v>
      </c>
      <c r="J170" t="s">
        <v>327</v>
      </c>
      <c r="K170">
        <v>0</v>
      </c>
      <c r="L170">
        <v>1</v>
      </c>
      <c r="M170">
        <v>4</v>
      </c>
    </row>
    <row r="171" spans="1:13" x14ac:dyDescent="0.25">
      <c r="A171">
        <v>3400</v>
      </c>
      <c r="B171" t="s">
        <v>193</v>
      </c>
      <c r="C171" t="s">
        <v>16</v>
      </c>
      <c r="D171" s="28">
        <v>45517</v>
      </c>
      <c r="E171" t="s">
        <v>328</v>
      </c>
      <c r="F171">
        <v>15</v>
      </c>
      <c r="G171" t="s">
        <v>315</v>
      </c>
      <c r="H171" t="s">
        <v>328</v>
      </c>
      <c r="I171">
        <v>30</v>
      </c>
      <c r="J171" t="s">
        <v>328</v>
      </c>
      <c r="K171">
        <v>20</v>
      </c>
      <c r="L171">
        <v>5</v>
      </c>
      <c r="M171">
        <v>60</v>
      </c>
    </row>
    <row r="172" spans="1:13" x14ac:dyDescent="0.25">
      <c r="A172">
        <v>3401</v>
      </c>
      <c r="B172" t="s">
        <v>194</v>
      </c>
      <c r="C172" t="s">
        <v>24</v>
      </c>
      <c r="D172" s="28">
        <v>45518</v>
      </c>
      <c r="E172" t="s">
        <v>327</v>
      </c>
      <c r="F172">
        <v>10</v>
      </c>
      <c r="G172" t="s">
        <v>316</v>
      </c>
      <c r="H172" t="s">
        <v>327</v>
      </c>
      <c r="I172" t="s">
        <v>309</v>
      </c>
      <c r="J172" t="s">
        <v>328</v>
      </c>
      <c r="K172">
        <v>20</v>
      </c>
      <c r="L172">
        <v>10</v>
      </c>
      <c r="M172">
        <v>20</v>
      </c>
    </row>
    <row r="173" spans="1:13" x14ac:dyDescent="0.25">
      <c r="A173">
        <v>3402</v>
      </c>
      <c r="B173" t="s">
        <v>195</v>
      </c>
      <c r="C173" t="s">
        <v>20</v>
      </c>
      <c r="D173" s="28">
        <v>45519</v>
      </c>
      <c r="E173" t="s">
        <v>328</v>
      </c>
      <c r="F173">
        <v>5</v>
      </c>
      <c r="G173" t="s">
        <v>317</v>
      </c>
      <c r="H173" t="s">
        <v>327</v>
      </c>
      <c r="I173" t="s">
        <v>309</v>
      </c>
      <c r="J173" t="s">
        <v>327</v>
      </c>
      <c r="K173">
        <v>0</v>
      </c>
      <c r="L173">
        <v>0</v>
      </c>
      <c r="M173">
        <v>5</v>
      </c>
    </row>
    <row r="174" spans="1:13" x14ac:dyDescent="0.25">
      <c r="A174">
        <v>3403</v>
      </c>
      <c r="B174" t="s">
        <v>196</v>
      </c>
      <c r="C174" t="s">
        <v>16</v>
      </c>
      <c r="D174" s="28">
        <v>45520</v>
      </c>
      <c r="E174" t="s">
        <v>327</v>
      </c>
      <c r="F174">
        <v>15</v>
      </c>
      <c r="G174" t="s">
        <v>316</v>
      </c>
      <c r="H174" t="s">
        <v>328</v>
      </c>
      <c r="I174">
        <v>30</v>
      </c>
      <c r="J174" t="s">
        <v>328</v>
      </c>
      <c r="K174">
        <v>20</v>
      </c>
      <c r="L174">
        <v>3</v>
      </c>
      <c r="M174">
        <v>62</v>
      </c>
    </row>
    <row r="175" spans="1:13" x14ac:dyDescent="0.25">
      <c r="A175">
        <v>3404</v>
      </c>
      <c r="B175" t="s">
        <v>197</v>
      </c>
      <c r="C175" t="s">
        <v>24</v>
      </c>
      <c r="D175" s="28">
        <v>45521</v>
      </c>
      <c r="E175" t="s">
        <v>328</v>
      </c>
      <c r="F175">
        <v>10</v>
      </c>
      <c r="G175" t="s">
        <v>315</v>
      </c>
      <c r="H175" t="s">
        <v>327</v>
      </c>
      <c r="I175" t="s">
        <v>309</v>
      </c>
      <c r="J175" t="s">
        <v>328</v>
      </c>
      <c r="K175">
        <v>20</v>
      </c>
      <c r="L175">
        <v>15</v>
      </c>
      <c r="M175">
        <v>15</v>
      </c>
    </row>
    <row r="176" spans="1:13" x14ac:dyDescent="0.25">
      <c r="A176">
        <v>3405</v>
      </c>
      <c r="B176" t="s">
        <v>198</v>
      </c>
      <c r="C176" t="s">
        <v>20</v>
      </c>
      <c r="D176" s="28">
        <v>45522</v>
      </c>
      <c r="E176" t="s">
        <v>327</v>
      </c>
      <c r="F176">
        <v>5</v>
      </c>
      <c r="G176" t="s">
        <v>316</v>
      </c>
      <c r="H176" t="s">
        <v>327</v>
      </c>
      <c r="I176" t="s">
        <v>309</v>
      </c>
      <c r="J176" t="s">
        <v>327</v>
      </c>
      <c r="K176">
        <v>0</v>
      </c>
      <c r="L176">
        <v>1</v>
      </c>
      <c r="M176">
        <v>4</v>
      </c>
    </row>
    <row r="177" spans="1:13" x14ac:dyDescent="0.25">
      <c r="A177">
        <v>3406</v>
      </c>
      <c r="B177" t="s">
        <v>199</v>
      </c>
      <c r="C177" t="s">
        <v>20</v>
      </c>
      <c r="D177" s="28">
        <v>45523</v>
      </c>
      <c r="E177" t="s">
        <v>328</v>
      </c>
      <c r="F177">
        <v>5</v>
      </c>
      <c r="G177" t="s">
        <v>316</v>
      </c>
      <c r="H177" t="s">
        <v>327</v>
      </c>
      <c r="I177" t="s">
        <v>309</v>
      </c>
      <c r="J177" t="s">
        <v>327</v>
      </c>
      <c r="K177">
        <v>0</v>
      </c>
      <c r="L177">
        <v>0</v>
      </c>
      <c r="M177">
        <v>5</v>
      </c>
    </row>
    <row r="178" spans="1:13" x14ac:dyDescent="0.25">
      <c r="A178">
        <v>3407</v>
      </c>
      <c r="B178" t="s">
        <v>200</v>
      </c>
      <c r="C178" t="s">
        <v>16</v>
      </c>
      <c r="D178" s="28">
        <v>45524</v>
      </c>
      <c r="E178" t="s">
        <v>327</v>
      </c>
      <c r="F178">
        <v>15</v>
      </c>
      <c r="G178" t="s">
        <v>317</v>
      </c>
      <c r="H178" t="s">
        <v>328</v>
      </c>
      <c r="I178">
        <v>30</v>
      </c>
      <c r="J178" t="s">
        <v>328</v>
      </c>
      <c r="K178">
        <v>20</v>
      </c>
      <c r="L178">
        <v>7</v>
      </c>
      <c r="M178">
        <v>58</v>
      </c>
    </row>
    <row r="179" spans="1:13" x14ac:dyDescent="0.25">
      <c r="A179">
        <v>3408</v>
      </c>
      <c r="B179" t="s">
        <v>201</v>
      </c>
      <c r="C179" t="s">
        <v>24</v>
      </c>
      <c r="D179" s="28">
        <v>45525</v>
      </c>
      <c r="E179" t="s">
        <v>328</v>
      </c>
      <c r="F179">
        <v>10</v>
      </c>
      <c r="G179" t="s">
        <v>315</v>
      </c>
      <c r="H179" t="s">
        <v>327</v>
      </c>
      <c r="I179" t="s">
        <v>309</v>
      </c>
      <c r="J179" t="s">
        <v>328</v>
      </c>
      <c r="K179">
        <v>20</v>
      </c>
      <c r="L179">
        <v>10</v>
      </c>
      <c r="M179">
        <v>20</v>
      </c>
    </row>
    <row r="180" spans="1:13" x14ac:dyDescent="0.25">
      <c r="A180">
        <v>3409</v>
      </c>
      <c r="B180" t="s">
        <v>202</v>
      </c>
      <c r="C180" t="s">
        <v>20</v>
      </c>
      <c r="D180" s="28">
        <v>45526</v>
      </c>
      <c r="E180" t="s">
        <v>327</v>
      </c>
      <c r="F180">
        <v>5</v>
      </c>
      <c r="G180" t="s">
        <v>317</v>
      </c>
      <c r="H180" t="s">
        <v>327</v>
      </c>
      <c r="I180" t="s">
        <v>309</v>
      </c>
      <c r="J180" t="s">
        <v>327</v>
      </c>
      <c r="K180">
        <v>0</v>
      </c>
      <c r="L180">
        <v>1</v>
      </c>
      <c r="M180">
        <v>4</v>
      </c>
    </row>
    <row r="181" spans="1:13" x14ac:dyDescent="0.25">
      <c r="A181">
        <v>3410</v>
      </c>
      <c r="B181" t="s">
        <v>203</v>
      </c>
      <c r="C181" t="s">
        <v>16</v>
      </c>
      <c r="D181" s="28">
        <v>45527</v>
      </c>
      <c r="E181" t="s">
        <v>328</v>
      </c>
      <c r="F181">
        <v>15</v>
      </c>
      <c r="G181" t="s">
        <v>316</v>
      </c>
      <c r="H181" t="s">
        <v>328</v>
      </c>
      <c r="I181">
        <v>30</v>
      </c>
      <c r="J181" t="s">
        <v>328</v>
      </c>
      <c r="K181">
        <v>20</v>
      </c>
      <c r="L181">
        <v>15</v>
      </c>
      <c r="M181">
        <v>50</v>
      </c>
    </row>
    <row r="182" spans="1:13" x14ac:dyDescent="0.25">
      <c r="A182">
        <v>3411</v>
      </c>
      <c r="B182" t="s">
        <v>204</v>
      </c>
      <c r="C182" t="s">
        <v>24</v>
      </c>
      <c r="D182" s="28">
        <v>45528</v>
      </c>
      <c r="E182" t="s">
        <v>327</v>
      </c>
      <c r="F182">
        <v>10</v>
      </c>
      <c r="G182" t="s">
        <v>316</v>
      </c>
      <c r="H182" t="s">
        <v>327</v>
      </c>
      <c r="I182" t="s">
        <v>309</v>
      </c>
      <c r="J182" t="s">
        <v>328</v>
      </c>
      <c r="K182">
        <v>20</v>
      </c>
      <c r="L182">
        <v>5</v>
      </c>
      <c r="M182">
        <v>25</v>
      </c>
    </row>
    <row r="183" spans="1:13" x14ac:dyDescent="0.25">
      <c r="A183">
        <v>3412</v>
      </c>
      <c r="B183" t="s">
        <v>205</v>
      </c>
      <c r="C183" t="s">
        <v>20</v>
      </c>
      <c r="D183" s="28">
        <v>45529</v>
      </c>
      <c r="E183" t="s">
        <v>328</v>
      </c>
      <c r="F183">
        <v>5</v>
      </c>
      <c r="G183" t="s">
        <v>315</v>
      </c>
      <c r="H183" t="s">
        <v>327</v>
      </c>
      <c r="I183" t="s">
        <v>309</v>
      </c>
      <c r="J183" t="s">
        <v>327</v>
      </c>
      <c r="K183">
        <v>0</v>
      </c>
      <c r="L183">
        <v>0</v>
      </c>
      <c r="M183">
        <v>5</v>
      </c>
    </row>
    <row r="184" spans="1:13" x14ac:dyDescent="0.25">
      <c r="A184">
        <v>3413</v>
      </c>
      <c r="B184" t="s">
        <v>206</v>
      </c>
      <c r="C184" t="s">
        <v>16</v>
      </c>
      <c r="D184" s="28">
        <v>45530</v>
      </c>
      <c r="E184" t="s">
        <v>327</v>
      </c>
      <c r="F184">
        <v>15</v>
      </c>
      <c r="G184" t="s">
        <v>317</v>
      </c>
      <c r="H184" t="s">
        <v>328</v>
      </c>
      <c r="I184">
        <v>30</v>
      </c>
      <c r="J184" t="s">
        <v>328</v>
      </c>
      <c r="K184">
        <v>20</v>
      </c>
      <c r="L184">
        <v>20</v>
      </c>
      <c r="M184">
        <v>45</v>
      </c>
    </row>
    <row r="185" spans="1:13" x14ac:dyDescent="0.25">
      <c r="A185">
        <v>3414</v>
      </c>
      <c r="B185" t="s">
        <v>207</v>
      </c>
      <c r="C185" t="s">
        <v>24</v>
      </c>
      <c r="D185" s="28">
        <v>45531</v>
      </c>
      <c r="E185" t="s">
        <v>328</v>
      </c>
      <c r="F185">
        <v>10</v>
      </c>
      <c r="G185" t="s">
        <v>317</v>
      </c>
      <c r="H185" t="s">
        <v>327</v>
      </c>
      <c r="I185" t="s">
        <v>309</v>
      </c>
      <c r="J185" t="s">
        <v>328</v>
      </c>
      <c r="K185">
        <v>20</v>
      </c>
      <c r="L185">
        <v>12</v>
      </c>
      <c r="M185">
        <v>18</v>
      </c>
    </row>
    <row r="186" spans="1:13" x14ac:dyDescent="0.25">
      <c r="A186">
        <v>3415</v>
      </c>
      <c r="B186" t="s">
        <v>208</v>
      </c>
      <c r="C186" t="s">
        <v>20</v>
      </c>
      <c r="D186" s="28">
        <v>45532</v>
      </c>
      <c r="E186" t="s">
        <v>327</v>
      </c>
      <c r="F186">
        <v>5</v>
      </c>
      <c r="G186" t="s">
        <v>316</v>
      </c>
      <c r="H186" t="s">
        <v>327</v>
      </c>
      <c r="I186" t="s">
        <v>309</v>
      </c>
      <c r="J186" t="s">
        <v>327</v>
      </c>
      <c r="K186">
        <v>0</v>
      </c>
      <c r="L186">
        <v>2</v>
      </c>
      <c r="M186">
        <v>3</v>
      </c>
    </row>
    <row r="187" spans="1:13" x14ac:dyDescent="0.25">
      <c r="A187">
        <v>3416</v>
      </c>
      <c r="B187" t="s">
        <v>209</v>
      </c>
      <c r="C187" t="s">
        <v>16</v>
      </c>
      <c r="D187" s="28">
        <v>45533</v>
      </c>
      <c r="E187" t="s">
        <v>328</v>
      </c>
      <c r="F187">
        <v>15</v>
      </c>
      <c r="G187" t="s">
        <v>315</v>
      </c>
      <c r="H187" t="s">
        <v>328</v>
      </c>
      <c r="I187">
        <v>30</v>
      </c>
      <c r="J187" t="s">
        <v>328</v>
      </c>
      <c r="K187">
        <v>20</v>
      </c>
      <c r="L187">
        <v>5</v>
      </c>
      <c r="M187">
        <v>60</v>
      </c>
    </row>
    <row r="188" spans="1:13" x14ac:dyDescent="0.25">
      <c r="A188">
        <v>3417</v>
      </c>
      <c r="B188" t="s">
        <v>210</v>
      </c>
      <c r="C188" t="s">
        <v>24</v>
      </c>
      <c r="D188" s="28">
        <v>45534</v>
      </c>
      <c r="E188" t="s">
        <v>327</v>
      </c>
      <c r="F188">
        <v>10</v>
      </c>
      <c r="G188" t="s">
        <v>316</v>
      </c>
      <c r="H188" t="s">
        <v>327</v>
      </c>
      <c r="I188" t="s">
        <v>309</v>
      </c>
      <c r="J188" t="s">
        <v>328</v>
      </c>
      <c r="K188">
        <v>20</v>
      </c>
      <c r="L188">
        <v>10</v>
      </c>
      <c r="M188">
        <v>20</v>
      </c>
    </row>
    <row r="189" spans="1:13" x14ac:dyDescent="0.25">
      <c r="A189">
        <v>3418</v>
      </c>
      <c r="B189" t="s">
        <v>211</v>
      </c>
      <c r="C189" t="s">
        <v>20</v>
      </c>
      <c r="D189" s="28">
        <v>45535</v>
      </c>
      <c r="E189" t="s">
        <v>328</v>
      </c>
      <c r="F189">
        <v>5</v>
      </c>
      <c r="G189" t="s">
        <v>317</v>
      </c>
      <c r="H189" t="s">
        <v>327</v>
      </c>
      <c r="I189" t="s">
        <v>309</v>
      </c>
      <c r="J189" t="s">
        <v>327</v>
      </c>
      <c r="K189">
        <v>0</v>
      </c>
      <c r="L189">
        <v>0</v>
      </c>
      <c r="M189">
        <v>5</v>
      </c>
    </row>
    <row r="190" spans="1:13" x14ac:dyDescent="0.25">
      <c r="A190">
        <v>3419</v>
      </c>
      <c r="B190" t="s">
        <v>212</v>
      </c>
      <c r="C190" t="s">
        <v>16</v>
      </c>
      <c r="D190" s="28">
        <v>45536</v>
      </c>
      <c r="E190" t="s">
        <v>327</v>
      </c>
      <c r="F190">
        <v>15</v>
      </c>
      <c r="G190" t="s">
        <v>316</v>
      </c>
      <c r="H190" t="s">
        <v>328</v>
      </c>
      <c r="I190">
        <v>30</v>
      </c>
      <c r="J190" t="s">
        <v>328</v>
      </c>
      <c r="K190">
        <v>20</v>
      </c>
      <c r="L190">
        <v>3</v>
      </c>
      <c r="M190">
        <v>62</v>
      </c>
    </row>
    <row r="191" spans="1:13" x14ac:dyDescent="0.25">
      <c r="A191">
        <v>3420</v>
      </c>
      <c r="B191" t="s">
        <v>213</v>
      </c>
      <c r="C191" t="s">
        <v>24</v>
      </c>
      <c r="D191" s="28">
        <v>45537</v>
      </c>
      <c r="E191" t="s">
        <v>328</v>
      </c>
      <c r="F191">
        <v>10</v>
      </c>
      <c r="G191" t="s">
        <v>315</v>
      </c>
      <c r="H191" t="s">
        <v>327</v>
      </c>
      <c r="I191" t="s">
        <v>309</v>
      </c>
      <c r="J191" t="s">
        <v>328</v>
      </c>
      <c r="K191">
        <v>20</v>
      </c>
      <c r="L191">
        <v>15</v>
      </c>
      <c r="M191">
        <v>15</v>
      </c>
    </row>
    <row r="192" spans="1:13" x14ac:dyDescent="0.25">
      <c r="A192">
        <v>3421</v>
      </c>
      <c r="B192" t="s">
        <v>42</v>
      </c>
      <c r="C192" t="s">
        <v>20</v>
      </c>
      <c r="D192" s="28">
        <v>45538</v>
      </c>
      <c r="E192" t="s">
        <v>327</v>
      </c>
      <c r="F192">
        <v>5</v>
      </c>
      <c r="G192" t="s">
        <v>316</v>
      </c>
      <c r="H192" t="s">
        <v>327</v>
      </c>
      <c r="I192" t="s">
        <v>309</v>
      </c>
      <c r="J192" t="s">
        <v>327</v>
      </c>
      <c r="K192">
        <v>0</v>
      </c>
      <c r="L192">
        <v>1</v>
      </c>
      <c r="M192">
        <v>4</v>
      </c>
    </row>
    <row r="193" spans="1:13" x14ac:dyDescent="0.25">
      <c r="A193">
        <v>3422</v>
      </c>
      <c r="B193" t="s">
        <v>214</v>
      </c>
      <c r="C193" t="s">
        <v>16</v>
      </c>
      <c r="D193" s="28">
        <v>45539</v>
      </c>
      <c r="E193" t="s">
        <v>328</v>
      </c>
      <c r="F193">
        <v>15</v>
      </c>
      <c r="G193" t="s">
        <v>317</v>
      </c>
      <c r="H193" t="s">
        <v>328</v>
      </c>
      <c r="I193">
        <v>30</v>
      </c>
      <c r="J193" t="s">
        <v>328</v>
      </c>
      <c r="K193">
        <v>20</v>
      </c>
      <c r="L193">
        <v>7</v>
      </c>
      <c r="M193">
        <v>58</v>
      </c>
    </row>
    <row r="194" spans="1:13" x14ac:dyDescent="0.25">
      <c r="A194">
        <v>3423</v>
      </c>
      <c r="B194" t="s">
        <v>215</v>
      </c>
      <c r="C194" t="s">
        <v>24</v>
      </c>
      <c r="D194" s="28">
        <v>45540</v>
      </c>
      <c r="E194" t="s">
        <v>327</v>
      </c>
      <c r="F194">
        <v>10</v>
      </c>
      <c r="G194" t="s">
        <v>316</v>
      </c>
      <c r="H194" t="s">
        <v>327</v>
      </c>
      <c r="I194" t="s">
        <v>309</v>
      </c>
      <c r="J194" t="s">
        <v>328</v>
      </c>
      <c r="K194">
        <v>20</v>
      </c>
      <c r="L194">
        <v>10</v>
      </c>
      <c r="M194">
        <v>20</v>
      </c>
    </row>
    <row r="195" spans="1:13" x14ac:dyDescent="0.25">
      <c r="A195">
        <v>3424</v>
      </c>
      <c r="B195" t="s">
        <v>41</v>
      </c>
      <c r="C195" t="s">
        <v>20</v>
      </c>
      <c r="D195" s="28">
        <v>45541</v>
      </c>
      <c r="E195" t="s">
        <v>328</v>
      </c>
      <c r="F195">
        <v>5</v>
      </c>
      <c r="G195" t="s">
        <v>315</v>
      </c>
      <c r="H195" t="s">
        <v>327</v>
      </c>
      <c r="I195" t="s">
        <v>309</v>
      </c>
      <c r="J195" t="s">
        <v>327</v>
      </c>
      <c r="K195">
        <v>0</v>
      </c>
      <c r="L195">
        <v>0</v>
      </c>
      <c r="M195">
        <v>5</v>
      </c>
    </row>
    <row r="196" spans="1:13" x14ac:dyDescent="0.25">
      <c r="A196">
        <v>3425</v>
      </c>
      <c r="B196" t="s">
        <v>216</v>
      </c>
      <c r="C196" t="s">
        <v>16</v>
      </c>
      <c r="D196" s="28">
        <v>45542</v>
      </c>
      <c r="E196" t="s">
        <v>327</v>
      </c>
      <c r="F196">
        <v>15</v>
      </c>
      <c r="G196" t="s">
        <v>316</v>
      </c>
      <c r="H196" t="s">
        <v>328</v>
      </c>
      <c r="I196">
        <v>30</v>
      </c>
      <c r="J196" t="s">
        <v>328</v>
      </c>
      <c r="K196">
        <v>20</v>
      </c>
      <c r="L196">
        <v>20</v>
      </c>
      <c r="M196">
        <v>45</v>
      </c>
    </row>
    <row r="197" spans="1:13" x14ac:dyDescent="0.25">
      <c r="A197">
        <v>3426</v>
      </c>
      <c r="B197" t="s">
        <v>194</v>
      </c>
      <c r="C197" t="s">
        <v>24</v>
      </c>
      <c r="D197" s="28">
        <v>45543</v>
      </c>
      <c r="E197" t="s">
        <v>328</v>
      </c>
      <c r="F197">
        <v>10</v>
      </c>
      <c r="G197" t="s">
        <v>317</v>
      </c>
      <c r="H197" t="s">
        <v>327</v>
      </c>
      <c r="I197" t="s">
        <v>309</v>
      </c>
      <c r="J197" t="s">
        <v>328</v>
      </c>
      <c r="K197">
        <v>20</v>
      </c>
      <c r="L197">
        <v>15</v>
      </c>
      <c r="M197">
        <v>15</v>
      </c>
    </row>
    <row r="198" spans="1:13" x14ac:dyDescent="0.25">
      <c r="A198">
        <v>3427</v>
      </c>
      <c r="B198" t="s">
        <v>217</v>
      </c>
      <c r="C198" t="s">
        <v>20</v>
      </c>
      <c r="D198" s="28">
        <v>45544</v>
      </c>
      <c r="E198" t="s">
        <v>327</v>
      </c>
      <c r="F198">
        <v>5</v>
      </c>
      <c r="G198" t="s">
        <v>316</v>
      </c>
      <c r="H198" t="s">
        <v>327</v>
      </c>
      <c r="I198" t="s">
        <v>309</v>
      </c>
      <c r="J198" t="s">
        <v>327</v>
      </c>
      <c r="K198">
        <v>0</v>
      </c>
      <c r="L198">
        <v>1</v>
      </c>
      <c r="M198">
        <v>4</v>
      </c>
    </row>
    <row r="199" spans="1:13" x14ac:dyDescent="0.25">
      <c r="A199">
        <v>3428</v>
      </c>
      <c r="B199" t="s">
        <v>218</v>
      </c>
      <c r="C199" t="s">
        <v>16</v>
      </c>
      <c r="D199" s="28">
        <v>45545</v>
      </c>
      <c r="E199" t="s">
        <v>328</v>
      </c>
      <c r="F199">
        <v>15</v>
      </c>
      <c r="G199" t="s">
        <v>315</v>
      </c>
      <c r="H199" t="s">
        <v>328</v>
      </c>
      <c r="I199">
        <v>30</v>
      </c>
      <c r="J199" t="s">
        <v>328</v>
      </c>
      <c r="K199">
        <v>20</v>
      </c>
      <c r="L199">
        <v>3</v>
      </c>
      <c r="M199">
        <v>62</v>
      </c>
    </row>
    <row r="200" spans="1:13" x14ac:dyDescent="0.25">
      <c r="A200">
        <v>3429</v>
      </c>
      <c r="B200" t="s">
        <v>219</v>
      </c>
      <c r="C200" t="s">
        <v>24</v>
      </c>
      <c r="D200" s="28">
        <v>45546</v>
      </c>
      <c r="E200" t="s">
        <v>327</v>
      </c>
      <c r="F200">
        <v>10</v>
      </c>
      <c r="G200" t="s">
        <v>316</v>
      </c>
      <c r="H200" t="s">
        <v>327</v>
      </c>
      <c r="I200" t="s">
        <v>309</v>
      </c>
      <c r="J200" t="s">
        <v>328</v>
      </c>
      <c r="K200">
        <v>20</v>
      </c>
      <c r="L200">
        <v>10</v>
      </c>
      <c r="M200">
        <v>20</v>
      </c>
    </row>
    <row r="201" spans="1:13" x14ac:dyDescent="0.25">
      <c r="A201">
        <v>3430</v>
      </c>
      <c r="B201" t="s">
        <v>220</v>
      </c>
      <c r="C201" t="s">
        <v>20</v>
      </c>
      <c r="D201" s="28">
        <v>45547</v>
      </c>
      <c r="E201" t="s">
        <v>328</v>
      </c>
      <c r="F201">
        <v>5</v>
      </c>
      <c r="G201" t="s">
        <v>317</v>
      </c>
      <c r="H201" t="s">
        <v>327</v>
      </c>
      <c r="I201" t="s">
        <v>309</v>
      </c>
      <c r="J201" t="s">
        <v>327</v>
      </c>
      <c r="K201">
        <v>0</v>
      </c>
      <c r="L201">
        <v>0</v>
      </c>
      <c r="M201">
        <v>5</v>
      </c>
    </row>
    <row r="202" spans="1:13" x14ac:dyDescent="0.25">
      <c r="A202">
        <v>3431</v>
      </c>
      <c r="B202" t="s">
        <v>221</v>
      </c>
      <c r="C202" t="s">
        <v>16</v>
      </c>
      <c r="D202" s="28">
        <v>45548</v>
      </c>
      <c r="E202" t="s">
        <v>327</v>
      </c>
      <c r="F202">
        <v>15</v>
      </c>
      <c r="G202" t="s">
        <v>316</v>
      </c>
      <c r="H202" t="s">
        <v>328</v>
      </c>
      <c r="I202">
        <v>30</v>
      </c>
      <c r="J202" t="s">
        <v>328</v>
      </c>
      <c r="K202">
        <v>20</v>
      </c>
      <c r="L202">
        <v>15</v>
      </c>
      <c r="M202">
        <v>50</v>
      </c>
    </row>
    <row r="203" spans="1:13" x14ac:dyDescent="0.25">
      <c r="A203">
        <v>3432</v>
      </c>
      <c r="B203" t="s">
        <v>222</v>
      </c>
      <c r="C203" t="s">
        <v>24</v>
      </c>
      <c r="D203" s="28">
        <v>45549</v>
      </c>
      <c r="E203" t="s">
        <v>328</v>
      </c>
      <c r="F203">
        <v>10</v>
      </c>
      <c r="G203" t="s">
        <v>315</v>
      </c>
      <c r="H203" t="s">
        <v>327</v>
      </c>
      <c r="I203" t="s">
        <v>309</v>
      </c>
      <c r="J203" t="s">
        <v>328</v>
      </c>
      <c r="K203">
        <v>20</v>
      </c>
      <c r="L203">
        <v>15</v>
      </c>
      <c r="M203">
        <v>15</v>
      </c>
    </row>
    <row r="204" spans="1:13" x14ac:dyDescent="0.25">
      <c r="A204">
        <v>3433</v>
      </c>
      <c r="B204" t="s">
        <v>223</v>
      </c>
      <c r="C204" t="s">
        <v>20</v>
      </c>
      <c r="D204" s="28">
        <v>45550</v>
      </c>
      <c r="E204" t="s">
        <v>327</v>
      </c>
      <c r="F204">
        <v>5</v>
      </c>
      <c r="G204" t="s">
        <v>316</v>
      </c>
      <c r="H204" t="s">
        <v>327</v>
      </c>
      <c r="I204" t="s">
        <v>309</v>
      </c>
      <c r="J204" t="s">
        <v>327</v>
      </c>
      <c r="K204">
        <v>0</v>
      </c>
      <c r="L204">
        <v>1</v>
      </c>
      <c r="M204">
        <v>4</v>
      </c>
    </row>
    <row r="205" spans="1:13" x14ac:dyDescent="0.25">
      <c r="A205">
        <v>3434</v>
      </c>
      <c r="B205" t="s">
        <v>224</v>
      </c>
      <c r="C205" t="s">
        <v>16</v>
      </c>
      <c r="D205" s="28">
        <v>45551</v>
      </c>
      <c r="E205" t="s">
        <v>328</v>
      </c>
      <c r="F205">
        <v>15</v>
      </c>
      <c r="G205" t="s">
        <v>317</v>
      </c>
      <c r="H205" t="s">
        <v>328</v>
      </c>
      <c r="I205">
        <v>30</v>
      </c>
      <c r="J205" t="s">
        <v>328</v>
      </c>
      <c r="K205">
        <v>20</v>
      </c>
      <c r="L205">
        <v>7</v>
      </c>
      <c r="M205">
        <v>58</v>
      </c>
    </row>
    <row r="206" spans="1:13" x14ac:dyDescent="0.25">
      <c r="A206">
        <v>3435</v>
      </c>
      <c r="B206" t="s">
        <v>225</v>
      </c>
      <c r="C206" t="s">
        <v>24</v>
      </c>
      <c r="D206" s="28">
        <v>45552</v>
      </c>
      <c r="E206" t="s">
        <v>327</v>
      </c>
      <c r="F206">
        <v>10</v>
      </c>
      <c r="G206" t="s">
        <v>316</v>
      </c>
      <c r="H206" t="s">
        <v>327</v>
      </c>
      <c r="I206" t="s">
        <v>309</v>
      </c>
      <c r="J206" t="s">
        <v>328</v>
      </c>
      <c r="K206">
        <v>20</v>
      </c>
      <c r="L206">
        <v>10</v>
      </c>
      <c r="M206">
        <v>20</v>
      </c>
    </row>
    <row r="207" spans="1:13" x14ac:dyDescent="0.25">
      <c r="A207">
        <v>3436</v>
      </c>
      <c r="B207" t="s">
        <v>226</v>
      </c>
      <c r="C207" t="s">
        <v>20</v>
      </c>
      <c r="D207" s="28">
        <v>45553</v>
      </c>
      <c r="E207" t="s">
        <v>328</v>
      </c>
      <c r="F207">
        <v>5</v>
      </c>
      <c r="G207" t="s">
        <v>316</v>
      </c>
      <c r="H207" t="s">
        <v>327</v>
      </c>
      <c r="I207" t="s">
        <v>309</v>
      </c>
      <c r="J207" t="s">
        <v>327</v>
      </c>
      <c r="K207">
        <v>0</v>
      </c>
      <c r="L207">
        <v>0</v>
      </c>
      <c r="M207">
        <v>5</v>
      </c>
    </row>
    <row r="208" spans="1:13" x14ac:dyDescent="0.25">
      <c r="A208">
        <v>3437</v>
      </c>
      <c r="B208" t="s">
        <v>227</v>
      </c>
      <c r="C208" t="s">
        <v>16</v>
      </c>
      <c r="D208" s="28">
        <v>45554</v>
      </c>
      <c r="E208" t="s">
        <v>327</v>
      </c>
      <c r="F208">
        <v>15</v>
      </c>
      <c r="G208" t="s">
        <v>317</v>
      </c>
      <c r="H208" t="s">
        <v>328</v>
      </c>
      <c r="I208">
        <v>30</v>
      </c>
      <c r="J208" t="s">
        <v>328</v>
      </c>
      <c r="K208">
        <v>20</v>
      </c>
      <c r="L208">
        <v>7</v>
      </c>
      <c r="M208">
        <v>58</v>
      </c>
    </row>
    <row r="209" spans="1:13" x14ac:dyDescent="0.25">
      <c r="A209">
        <v>3438</v>
      </c>
      <c r="B209" t="s">
        <v>228</v>
      </c>
      <c r="C209" t="s">
        <v>24</v>
      </c>
      <c r="D209" s="28">
        <v>45555</v>
      </c>
      <c r="E209" t="s">
        <v>328</v>
      </c>
      <c r="F209">
        <v>10</v>
      </c>
      <c r="G209" t="s">
        <v>315</v>
      </c>
      <c r="H209" t="s">
        <v>327</v>
      </c>
      <c r="I209" t="s">
        <v>309</v>
      </c>
      <c r="J209" t="s">
        <v>328</v>
      </c>
      <c r="K209">
        <v>20</v>
      </c>
      <c r="L209">
        <v>10</v>
      </c>
      <c r="M209">
        <v>20</v>
      </c>
    </row>
    <row r="210" spans="1:13" x14ac:dyDescent="0.25">
      <c r="A210">
        <v>3439</v>
      </c>
      <c r="B210" t="s">
        <v>229</v>
      </c>
      <c r="C210" t="s">
        <v>20</v>
      </c>
      <c r="D210" s="28">
        <v>45556</v>
      </c>
      <c r="E210" t="s">
        <v>327</v>
      </c>
      <c r="F210">
        <v>5</v>
      </c>
      <c r="G210" t="s">
        <v>317</v>
      </c>
      <c r="H210" t="s">
        <v>327</v>
      </c>
      <c r="I210" t="s">
        <v>309</v>
      </c>
      <c r="J210" t="s">
        <v>327</v>
      </c>
      <c r="K210">
        <v>0</v>
      </c>
      <c r="L210">
        <v>1</v>
      </c>
      <c r="M210">
        <v>4</v>
      </c>
    </row>
    <row r="211" spans="1:13" x14ac:dyDescent="0.25">
      <c r="A211">
        <v>3440</v>
      </c>
      <c r="B211" t="s">
        <v>230</v>
      </c>
      <c r="C211" t="s">
        <v>16</v>
      </c>
      <c r="D211" s="28">
        <v>45557</v>
      </c>
      <c r="E211" t="s">
        <v>328</v>
      </c>
      <c r="F211">
        <v>15</v>
      </c>
      <c r="G211" t="s">
        <v>316</v>
      </c>
      <c r="H211" t="s">
        <v>328</v>
      </c>
      <c r="I211">
        <v>30</v>
      </c>
      <c r="J211" t="s">
        <v>328</v>
      </c>
      <c r="K211">
        <v>20</v>
      </c>
      <c r="L211">
        <v>15</v>
      </c>
      <c r="M211">
        <v>50</v>
      </c>
    </row>
    <row r="212" spans="1:13" x14ac:dyDescent="0.25">
      <c r="A212">
        <v>3441</v>
      </c>
      <c r="B212" t="s">
        <v>231</v>
      </c>
      <c r="C212" t="s">
        <v>24</v>
      </c>
      <c r="D212" s="28">
        <v>45558</v>
      </c>
      <c r="E212" t="s">
        <v>327</v>
      </c>
      <c r="F212">
        <v>10</v>
      </c>
      <c r="G212" t="s">
        <v>316</v>
      </c>
      <c r="H212" t="s">
        <v>327</v>
      </c>
      <c r="I212" t="s">
        <v>309</v>
      </c>
      <c r="J212" t="s">
        <v>328</v>
      </c>
      <c r="K212">
        <v>20</v>
      </c>
      <c r="L212">
        <v>5</v>
      </c>
      <c r="M212">
        <v>25</v>
      </c>
    </row>
    <row r="213" spans="1:13" x14ac:dyDescent="0.25">
      <c r="A213">
        <v>3442</v>
      </c>
      <c r="B213" t="s">
        <v>232</v>
      </c>
      <c r="C213" t="s">
        <v>20</v>
      </c>
      <c r="D213" s="28">
        <v>45559</v>
      </c>
      <c r="E213" t="s">
        <v>328</v>
      </c>
      <c r="F213">
        <v>5</v>
      </c>
      <c r="G213" t="s">
        <v>315</v>
      </c>
      <c r="H213" t="s">
        <v>327</v>
      </c>
      <c r="I213" t="s">
        <v>309</v>
      </c>
      <c r="J213" t="s">
        <v>327</v>
      </c>
      <c r="K213">
        <v>0</v>
      </c>
      <c r="L213">
        <v>0</v>
      </c>
      <c r="M213">
        <v>5</v>
      </c>
    </row>
    <row r="214" spans="1:13" x14ac:dyDescent="0.25">
      <c r="A214">
        <v>3443</v>
      </c>
      <c r="B214" t="s">
        <v>233</v>
      </c>
      <c r="C214" t="s">
        <v>16</v>
      </c>
      <c r="D214" s="28">
        <v>45560</v>
      </c>
      <c r="E214" t="s">
        <v>327</v>
      </c>
      <c r="F214">
        <v>15</v>
      </c>
      <c r="G214" t="s">
        <v>317</v>
      </c>
      <c r="H214" t="s">
        <v>328</v>
      </c>
      <c r="I214">
        <v>30</v>
      </c>
      <c r="J214" t="s">
        <v>328</v>
      </c>
      <c r="K214">
        <v>20</v>
      </c>
      <c r="L214">
        <v>20</v>
      </c>
      <c r="M214">
        <v>45</v>
      </c>
    </row>
    <row r="215" spans="1:13" x14ac:dyDescent="0.25">
      <c r="A215">
        <v>3444</v>
      </c>
      <c r="B215" t="s">
        <v>234</v>
      </c>
      <c r="C215" t="s">
        <v>24</v>
      </c>
      <c r="D215" s="28">
        <v>45561</v>
      </c>
      <c r="E215" t="s">
        <v>328</v>
      </c>
      <c r="F215">
        <v>10</v>
      </c>
      <c r="G215" t="s">
        <v>317</v>
      </c>
      <c r="H215" t="s">
        <v>327</v>
      </c>
      <c r="I215" t="s">
        <v>309</v>
      </c>
      <c r="J215" t="s">
        <v>328</v>
      </c>
      <c r="K215">
        <v>20</v>
      </c>
      <c r="L215">
        <v>12</v>
      </c>
      <c r="M215">
        <v>18</v>
      </c>
    </row>
    <row r="216" spans="1:13" x14ac:dyDescent="0.25">
      <c r="A216">
        <v>3445</v>
      </c>
      <c r="B216" t="s">
        <v>64</v>
      </c>
      <c r="C216" t="s">
        <v>20</v>
      </c>
      <c r="D216" s="28">
        <v>45562</v>
      </c>
      <c r="E216" t="s">
        <v>327</v>
      </c>
      <c r="F216">
        <v>5</v>
      </c>
      <c r="G216" t="s">
        <v>316</v>
      </c>
      <c r="H216" t="s">
        <v>327</v>
      </c>
      <c r="I216" t="s">
        <v>309</v>
      </c>
      <c r="J216" t="s">
        <v>327</v>
      </c>
      <c r="K216">
        <v>0</v>
      </c>
      <c r="L216">
        <v>2</v>
      </c>
      <c r="M216">
        <v>3</v>
      </c>
    </row>
    <row r="217" spans="1:13" x14ac:dyDescent="0.25">
      <c r="A217">
        <v>3446</v>
      </c>
      <c r="B217" t="s">
        <v>235</v>
      </c>
      <c r="C217" t="s">
        <v>16</v>
      </c>
      <c r="D217" s="28">
        <v>45563</v>
      </c>
      <c r="E217" t="s">
        <v>328</v>
      </c>
      <c r="F217">
        <v>15</v>
      </c>
      <c r="G217" t="s">
        <v>315</v>
      </c>
      <c r="H217" t="s">
        <v>328</v>
      </c>
      <c r="I217">
        <v>30</v>
      </c>
      <c r="J217" t="s">
        <v>328</v>
      </c>
      <c r="K217">
        <v>20</v>
      </c>
      <c r="L217">
        <v>5</v>
      </c>
      <c r="M217">
        <v>60</v>
      </c>
    </row>
    <row r="218" spans="1:13" x14ac:dyDescent="0.25">
      <c r="A218">
        <v>3447</v>
      </c>
      <c r="B218" t="s">
        <v>236</v>
      </c>
      <c r="C218" t="s">
        <v>24</v>
      </c>
      <c r="D218" s="28">
        <v>45564</v>
      </c>
      <c r="E218" t="s">
        <v>327</v>
      </c>
      <c r="F218">
        <v>10</v>
      </c>
      <c r="G218" t="s">
        <v>316</v>
      </c>
      <c r="H218" t="s">
        <v>327</v>
      </c>
      <c r="I218" t="s">
        <v>309</v>
      </c>
      <c r="J218" t="s">
        <v>328</v>
      </c>
      <c r="K218">
        <v>20</v>
      </c>
      <c r="L218">
        <v>10</v>
      </c>
      <c r="M218">
        <v>20</v>
      </c>
    </row>
    <row r="219" spans="1:13" x14ac:dyDescent="0.25">
      <c r="A219">
        <v>3448</v>
      </c>
      <c r="B219" t="s">
        <v>237</v>
      </c>
      <c r="C219" t="s">
        <v>20</v>
      </c>
      <c r="D219" s="28">
        <v>45565</v>
      </c>
      <c r="E219" t="s">
        <v>328</v>
      </c>
      <c r="F219">
        <v>5</v>
      </c>
      <c r="G219" t="s">
        <v>317</v>
      </c>
      <c r="H219" t="s">
        <v>327</v>
      </c>
      <c r="I219" t="s">
        <v>309</v>
      </c>
      <c r="J219" t="s">
        <v>327</v>
      </c>
      <c r="K219">
        <v>0</v>
      </c>
      <c r="L219">
        <v>0</v>
      </c>
      <c r="M219">
        <v>5</v>
      </c>
    </row>
    <row r="220" spans="1:13" x14ac:dyDescent="0.25">
      <c r="A220">
        <v>3449</v>
      </c>
      <c r="B220" t="s">
        <v>238</v>
      </c>
      <c r="C220" t="s">
        <v>16</v>
      </c>
      <c r="D220" s="28">
        <v>45566</v>
      </c>
      <c r="E220" t="s">
        <v>327</v>
      </c>
      <c r="F220">
        <v>15</v>
      </c>
      <c r="G220" t="s">
        <v>316</v>
      </c>
      <c r="H220" t="s">
        <v>328</v>
      </c>
      <c r="I220">
        <v>30</v>
      </c>
      <c r="J220" t="s">
        <v>328</v>
      </c>
      <c r="K220">
        <v>20</v>
      </c>
      <c r="L220">
        <v>3</v>
      </c>
      <c r="M220">
        <v>62</v>
      </c>
    </row>
    <row r="221" spans="1:13" x14ac:dyDescent="0.25">
      <c r="A221">
        <v>3450</v>
      </c>
      <c r="B221" t="s">
        <v>239</v>
      </c>
      <c r="C221" t="s">
        <v>24</v>
      </c>
      <c r="D221" s="28">
        <v>45567</v>
      </c>
      <c r="E221" t="s">
        <v>328</v>
      </c>
      <c r="F221">
        <v>10</v>
      </c>
      <c r="G221" t="s">
        <v>315</v>
      </c>
      <c r="H221" t="s">
        <v>327</v>
      </c>
      <c r="I221" t="s">
        <v>309</v>
      </c>
      <c r="J221" t="s">
        <v>328</v>
      </c>
      <c r="K221">
        <v>20</v>
      </c>
      <c r="L221">
        <v>15</v>
      </c>
      <c r="M221">
        <v>15</v>
      </c>
    </row>
    <row r="222" spans="1:13" x14ac:dyDescent="0.25">
      <c r="A222">
        <v>3451</v>
      </c>
      <c r="B222" t="s">
        <v>240</v>
      </c>
      <c r="C222" t="s">
        <v>20</v>
      </c>
      <c r="D222" s="28">
        <v>45568</v>
      </c>
      <c r="E222" t="s">
        <v>327</v>
      </c>
      <c r="F222">
        <v>5</v>
      </c>
      <c r="G222" t="s">
        <v>316</v>
      </c>
      <c r="H222" t="s">
        <v>327</v>
      </c>
      <c r="I222" t="s">
        <v>309</v>
      </c>
      <c r="J222" t="s">
        <v>327</v>
      </c>
      <c r="K222">
        <v>0</v>
      </c>
      <c r="L222">
        <v>1</v>
      </c>
      <c r="M222">
        <v>4</v>
      </c>
    </row>
    <row r="223" spans="1:13" x14ac:dyDescent="0.25">
      <c r="A223">
        <v>3452</v>
      </c>
      <c r="B223" t="s">
        <v>218</v>
      </c>
      <c r="C223" t="s">
        <v>16</v>
      </c>
      <c r="D223" s="28">
        <v>45569</v>
      </c>
      <c r="E223" t="s">
        <v>328</v>
      </c>
      <c r="F223">
        <v>15</v>
      </c>
      <c r="G223" t="s">
        <v>317</v>
      </c>
      <c r="H223" t="s">
        <v>328</v>
      </c>
      <c r="I223">
        <v>30</v>
      </c>
      <c r="J223" t="s">
        <v>328</v>
      </c>
      <c r="K223">
        <v>20</v>
      </c>
      <c r="L223">
        <v>7</v>
      </c>
      <c r="M223">
        <v>58</v>
      </c>
    </row>
    <row r="224" spans="1:13" x14ac:dyDescent="0.25">
      <c r="A224">
        <v>3453</v>
      </c>
      <c r="B224" t="s">
        <v>72</v>
      </c>
      <c r="C224" t="s">
        <v>24</v>
      </c>
      <c r="D224" s="28">
        <v>45570</v>
      </c>
      <c r="E224" t="s">
        <v>327</v>
      </c>
      <c r="F224">
        <v>10</v>
      </c>
      <c r="G224" t="s">
        <v>316</v>
      </c>
      <c r="H224" t="s">
        <v>327</v>
      </c>
      <c r="I224" t="s">
        <v>309</v>
      </c>
      <c r="J224" t="s">
        <v>328</v>
      </c>
      <c r="K224">
        <v>20</v>
      </c>
      <c r="L224">
        <v>10</v>
      </c>
      <c r="M224">
        <v>20</v>
      </c>
    </row>
    <row r="225" spans="1:13" x14ac:dyDescent="0.25">
      <c r="A225">
        <v>3454</v>
      </c>
      <c r="B225" t="s">
        <v>241</v>
      </c>
      <c r="C225" t="s">
        <v>20</v>
      </c>
      <c r="D225" s="28">
        <v>45571</v>
      </c>
      <c r="E225" t="s">
        <v>328</v>
      </c>
      <c r="F225">
        <v>5</v>
      </c>
      <c r="G225" t="s">
        <v>315</v>
      </c>
      <c r="H225" t="s">
        <v>327</v>
      </c>
      <c r="I225" t="s">
        <v>309</v>
      </c>
      <c r="J225" t="s">
        <v>327</v>
      </c>
      <c r="K225">
        <v>0</v>
      </c>
      <c r="L225">
        <v>0</v>
      </c>
      <c r="M225">
        <v>5</v>
      </c>
    </row>
    <row r="226" spans="1:13" x14ac:dyDescent="0.25">
      <c r="A226">
        <v>3455</v>
      </c>
      <c r="B226" t="s">
        <v>242</v>
      </c>
      <c r="C226" t="s">
        <v>16</v>
      </c>
      <c r="D226" s="28">
        <v>45572</v>
      </c>
      <c r="E226" t="s">
        <v>327</v>
      </c>
      <c r="F226">
        <v>15</v>
      </c>
      <c r="G226" t="s">
        <v>316</v>
      </c>
      <c r="H226" t="s">
        <v>328</v>
      </c>
      <c r="I226">
        <v>30</v>
      </c>
      <c r="J226" t="s">
        <v>328</v>
      </c>
      <c r="K226">
        <v>20</v>
      </c>
      <c r="L226">
        <v>20</v>
      </c>
      <c r="M226">
        <v>45</v>
      </c>
    </row>
    <row r="227" spans="1:13" x14ac:dyDescent="0.25">
      <c r="A227">
        <v>3456</v>
      </c>
      <c r="B227" t="s">
        <v>243</v>
      </c>
      <c r="C227" t="s">
        <v>24</v>
      </c>
      <c r="D227" s="28">
        <v>45573</v>
      </c>
      <c r="E227" t="s">
        <v>328</v>
      </c>
      <c r="F227">
        <v>10</v>
      </c>
      <c r="G227" t="s">
        <v>317</v>
      </c>
      <c r="H227" t="s">
        <v>327</v>
      </c>
      <c r="I227" t="s">
        <v>309</v>
      </c>
      <c r="J227" t="s">
        <v>328</v>
      </c>
      <c r="K227">
        <v>20</v>
      </c>
      <c r="L227">
        <v>15</v>
      </c>
      <c r="M227">
        <v>15</v>
      </c>
    </row>
    <row r="228" spans="1:13" x14ac:dyDescent="0.25">
      <c r="A228">
        <v>3457</v>
      </c>
      <c r="B228" t="s">
        <v>244</v>
      </c>
      <c r="C228" t="s">
        <v>20</v>
      </c>
      <c r="D228" s="28">
        <v>45574</v>
      </c>
      <c r="E228" t="s">
        <v>327</v>
      </c>
      <c r="F228">
        <v>5</v>
      </c>
      <c r="G228" t="s">
        <v>316</v>
      </c>
      <c r="H228" t="s">
        <v>327</v>
      </c>
      <c r="I228" t="s">
        <v>309</v>
      </c>
      <c r="J228" t="s">
        <v>327</v>
      </c>
      <c r="K228">
        <v>0</v>
      </c>
      <c r="L228">
        <v>1</v>
      </c>
      <c r="M228">
        <v>4</v>
      </c>
    </row>
    <row r="229" spans="1:13" x14ac:dyDescent="0.25">
      <c r="A229">
        <v>3458</v>
      </c>
      <c r="B229" t="s">
        <v>245</v>
      </c>
      <c r="C229" t="s">
        <v>16</v>
      </c>
      <c r="D229" s="28">
        <v>45575</v>
      </c>
      <c r="E229" t="s">
        <v>328</v>
      </c>
      <c r="F229">
        <v>15</v>
      </c>
      <c r="G229" t="s">
        <v>315</v>
      </c>
      <c r="H229" t="s">
        <v>328</v>
      </c>
      <c r="I229">
        <v>30</v>
      </c>
      <c r="J229" t="s">
        <v>328</v>
      </c>
      <c r="K229">
        <v>20</v>
      </c>
      <c r="L229">
        <v>3</v>
      </c>
      <c r="M229">
        <v>62</v>
      </c>
    </row>
    <row r="230" spans="1:13" x14ac:dyDescent="0.25">
      <c r="A230">
        <v>3459</v>
      </c>
      <c r="B230" t="s">
        <v>246</v>
      </c>
      <c r="C230" t="s">
        <v>24</v>
      </c>
      <c r="D230" s="28">
        <v>45576</v>
      </c>
      <c r="E230" t="s">
        <v>327</v>
      </c>
      <c r="F230">
        <v>10</v>
      </c>
      <c r="G230" t="s">
        <v>316</v>
      </c>
      <c r="H230" t="s">
        <v>327</v>
      </c>
      <c r="I230" t="s">
        <v>309</v>
      </c>
      <c r="J230" t="s">
        <v>328</v>
      </c>
      <c r="K230">
        <v>20</v>
      </c>
      <c r="L230">
        <v>10</v>
      </c>
      <c r="M230">
        <v>20</v>
      </c>
    </row>
    <row r="231" spans="1:13" x14ac:dyDescent="0.25">
      <c r="A231">
        <v>3460</v>
      </c>
      <c r="B231" t="s">
        <v>154</v>
      </c>
      <c r="C231" t="s">
        <v>20</v>
      </c>
      <c r="D231" s="28">
        <v>45577</v>
      </c>
      <c r="E231" t="s">
        <v>328</v>
      </c>
      <c r="F231">
        <v>5</v>
      </c>
      <c r="G231" t="s">
        <v>317</v>
      </c>
      <c r="H231" t="s">
        <v>327</v>
      </c>
      <c r="I231" t="s">
        <v>309</v>
      </c>
      <c r="J231" t="s">
        <v>327</v>
      </c>
      <c r="K231">
        <v>0</v>
      </c>
      <c r="L231">
        <v>0</v>
      </c>
      <c r="M231">
        <v>5</v>
      </c>
    </row>
    <row r="232" spans="1:13" x14ac:dyDescent="0.25">
      <c r="A232">
        <v>3461</v>
      </c>
      <c r="B232" t="s">
        <v>247</v>
      </c>
      <c r="C232" t="s">
        <v>16</v>
      </c>
      <c r="D232" s="28">
        <v>45578</v>
      </c>
      <c r="E232" t="s">
        <v>327</v>
      </c>
      <c r="F232">
        <v>15</v>
      </c>
      <c r="G232" t="s">
        <v>316</v>
      </c>
      <c r="H232" t="s">
        <v>328</v>
      </c>
      <c r="I232">
        <v>30</v>
      </c>
      <c r="J232" t="s">
        <v>328</v>
      </c>
      <c r="K232">
        <v>20</v>
      </c>
      <c r="L232">
        <v>15</v>
      </c>
      <c r="M232">
        <v>50</v>
      </c>
    </row>
    <row r="233" spans="1:13" x14ac:dyDescent="0.25">
      <c r="A233">
        <v>3462</v>
      </c>
      <c r="B233" t="s">
        <v>248</v>
      </c>
      <c r="C233" t="s">
        <v>24</v>
      </c>
      <c r="D233" s="28">
        <v>45579</v>
      </c>
      <c r="E233" t="s">
        <v>328</v>
      </c>
      <c r="F233">
        <v>10</v>
      </c>
      <c r="G233" t="s">
        <v>315</v>
      </c>
      <c r="H233" t="s">
        <v>327</v>
      </c>
      <c r="I233" t="s">
        <v>309</v>
      </c>
      <c r="J233" t="s">
        <v>328</v>
      </c>
      <c r="K233">
        <v>20</v>
      </c>
      <c r="L233">
        <v>15</v>
      </c>
      <c r="M233">
        <v>15</v>
      </c>
    </row>
    <row r="234" spans="1:13" x14ac:dyDescent="0.25">
      <c r="A234">
        <v>3463</v>
      </c>
      <c r="B234" t="s">
        <v>249</v>
      </c>
      <c r="C234" t="s">
        <v>20</v>
      </c>
      <c r="D234" s="28">
        <v>45580</v>
      </c>
      <c r="E234" t="s">
        <v>327</v>
      </c>
      <c r="F234">
        <v>5</v>
      </c>
      <c r="G234" t="s">
        <v>316</v>
      </c>
      <c r="H234" t="s">
        <v>327</v>
      </c>
      <c r="I234" t="s">
        <v>309</v>
      </c>
      <c r="J234" t="s">
        <v>327</v>
      </c>
      <c r="K234">
        <v>0</v>
      </c>
      <c r="L234">
        <v>1</v>
      </c>
      <c r="M234">
        <v>4</v>
      </c>
    </row>
    <row r="235" spans="1:13" x14ac:dyDescent="0.25">
      <c r="A235">
        <v>3464</v>
      </c>
      <c r="B235" t="s">
        <v>250</v>
      </c>
      <c r="C235" t="s">
        <v>16</v>
      </c>
      <c r="D235" s="28">
        <v>45581</v>
      </c>
      <c r="E235" t="s">
        <v>328</v>
      </c>
      <c r="F235">
        <v>15</v>
      </c>
      <c r="G235" t="s">
        <v>317</v>
      </c>
      <c r="H235" t="s">
        <v>328</v>
      </c>
      <c r="I235">
        <v>30</v>
      </c>
      <c r="J235" t="s">
        <v>328</v>
      </c>
      <c r="K235">
        <v>20</v>
      </c>
      <c r="L235">
        <v>7</v>
      </c>
      <c r="M235">
        <v>58</v>
      </c>
    </row>
    <row r="236" spans="1:13" x14ac:dyDescent="0.25">
      <c r="A236">
        <v>3465</v>
      </c>
      <c r="B236" t="s">
        <v>251</v>
      </c>
      <c r="C236" t="s">
        <v>24</v>
      </c>
      <c r="D236" s="28">
        <v>45582</v>
      </c>
      <c r="E236" t="s">
        <v>327</v>
      </c>
      <c r="F236">
        <v>10</v>
      </c>
      <c r="G236" t="s">
        <v>316</v>
      </c>
      <c r="H236" t="s">
        <v>327</v>
      </c>
      <c r="I236" t="s">
        <v>309</v>
      </c>
      <c r="J236" t="s">
        <v>328</v>
      </c>
      <c r="K236">
        <v>20</v>
      </c>
      <c r="L236">
        <v>10</v>
      </c>
      <c r="M236">
        <v>20</v>
      </c>
    </row>
    <row r="237" spans="1:13" x14ac:dyDescent="0.25">
      <c r="A237">
        <v>3466</v>
      </c>
      <c r="B237" t="s">
        <v>252</v>
      </c>
      <c r="C237" t="s">
        <v>20</v>
      </c>
      <c r="D237" s="28">
        <v>45583</v>
      </c>
      <c r="E237" t="s">
        <v>328</v>
      </c>
      <c r="F237">
        <v>5</v>
      </c>
      <c r="G237" t="s">
        <v>315</v>
      </c>
      <c r="H237" t="s">
        <v>327</v>
      </c>
      <c r="I237" t="s">
        <v>309</v>
      </c>
      <c r="J237" t="s">
        <v>327</v>
      </c>
      <c r="K237">
        <v>0</v>
      </c>
      <c r="L237">
        <v>0</v>
      </c>
      <c r="M237">
        <v>5</v>
      </c>
    </row>
    <row r="238" spans="1:13" x14ac:dyDescent="0.25">
      <c r="A238">
        <v>3467</v>
      </c>
      <c r="B238" t="s">
        <v>253</v>
      </c>
      <c r="C238" t="s">
        <v>16</v>
      </c>
      <c r="D238" s="28">
        <v>45584</v>
      </c>
      <c r="E238" t="s">
        <v>327</v>
      </c>
      <c r="F238">
        <v>15</v>
      </c>
      <c r="G238" t="s">
        <v>316</v>
      </c>
      <c r="H238" t="s">
        <v>328</v>
      </c>
      <c r="I238">
        <v>30</v>
      </c>
      <c r="J238" t="s">
        <v>328</v>
      </c>
      <c r="K238">
        <v>20</v>
      </c>
      <c r="L238">
        <v>15</v>
      </c>
      <c r="M238">
        <v>50</v>
      </c>
    </row>
    <row r="239" spans="1:13" x14ac:dyDescent="0.25">
      <c r="A239">
        <v>3468</v>
      </c>
      <c r="B239" t="s">
        <v>254</v>
      </c>
      <c r="C239" t="s">
        <v>24</v>
      </c>
      <c r="D239" s="28">
        <v>45585</v>
      </c>
      <c r="E239" t="s">
        <v>328</v>
      </c>
      <c r="F239">
        <v>10</v>
      </c>
      <c r="G239" t="s">
        <v>317</v>
      </c>
      <c r="H239" t="s">
        <v>327</v>
      </c>
      <c r="I239" t="s">
        <v>309</v>
      </c>
      <c r="J239" t="s">
        <v>328</v>
      </c>
      <c r="K239">
        <v>20</v>
      </c>
      <c r="L239">
        <v>12</v>
      </c>
      <c r="M239">
        <v>18</v>
      </c>
    </row>
    <row r="240" spans="1:13" x14ac:dyDescent="0.25">
      <c r="A240">
        <v>3469</v>
      </c>
      <c r="B240" t="s">
        <v>255</v>
      </c>
      <c r="C240" t="s">
        <v>20</v>
      </c>
      <c r="D240" s="28">
        <v>45586</v>
      </c>
      <c r="E240" t="s">
        <v>327</v>
      </c>
      <c r="F240">
        <v>5</v>
      </c>
      <c r="G240" t="s">
        <v>316</v>
      </c>
      <c r="H240" t="s">
        <v>327</v>
      </c>
      <c r="I240" t="s">
        <v>309</v>
      </c>
      <c r="J240" t="s">
        <v>327</v>
      </c>
      <c r="K240">
        <v>0</v>
      </c>
      <c r="L240">
        <v>2</v>
      </c>
      <c r="M240">
        <v>3</v>
      </c>
    </row>
    <row r="241" spans="1:13" x14ac:dyDescent="0.25">
      <c r="A241">
        <v>3470</v>
      </c>
      <c r="B241" t="s">
        <v>256</v>
      </c>
      <c r="C241" t="s">
        <v>16</v>
      </c>
      <c r="D241" s="28">
        <v>45587</v>
      </c>
      <c r="E241" t="s">
        <v>328</v>
      </c>
      <c r="F241">
        <v>15</v>
      </c>
      <c r="G241" t="s">
        <v>315</v>
      </c>
      <c r="H241" t="s">
        <v>328</v>
      </c>
      <c r="I241">
        <v>30</v>
      </c>
      <c r="J241" t="s">
        <v>328</v>
      </c>
      <c r="K241">
        <v>20</v>
      </c>
      <c r="L241">
        <v>5</v>
      </c>
      <c r="M241">
        <v>60</v>
      </c>
    </row>
    <row r="242" spans="1:13" x14ac:dyDescent="0.25">
      <c r="A242">
        <v>3471</v>
      </c>
      <c r="B242" t="s">
        <v>257</v>
      </c>
      <c r="C242" t="s">
        <v>24</v>
      </c>
      <c r="D242" s="28">
        <v>45588</v>
      </c>
      <c r="E242" t="s">
        <v>327</v>
      </c>
      <c r="F242">
        <v>10</v>
      </c>
      <c r="G242" t="s">
        <v>316</v>
      </c>
      <c r="H242" t="s">
        <v>327</v>
      </c>
      <c r="I242" t="s">
        <v>309</v>
      </c>
      <c r="J242" t="s">
        <v>328</v>
      </c>
      <c r="K242">
        <v>20</v>
      </c>
      <c r="L242">
        <v>10</v>
      </c>
      <c r="M242">
        <v>20</v>
      </c>
    </row>
    <row r="243" spans="1:13" x14ac:dyDescent="0.25">
      <c r="A243">
        <v>3472</v>
      </c>
      <c r="B243" t="s">
        <v>258</v>
      </c>
      <c r="C243" t="s">
        <v>20</v>
      </c>
      <c r="D243" s="28">
        <v>45589</v>
      </c>
      <c r="E243" t="s">
        <v>328</v>
      </c>
      <c r="F243">
        <v>5</v>
      </c>
      <c r="G243" t="s">
        <v>317</v>
      </c>
      <c r="H243" t="s">
        <v>327</v>
      </c>
      <c r="I243" t="s">
        <v>309</v>
      </c>
      <c r="J243" t="s">
        <v>327</v>
      </c>
      <c r="K243">
        <v>0</v>
      </c>
      <c r="L243">
        <v>0</v>
      </c>
      <c r="M243">
        <v>5</v>
      </c>
    </row>
    <row r="244" spans="1:13" x14ac:dyDescent="0.25">
      <c r="A244">
        <v>3473</v>
      </c>
      <c r="B244" t="s">
        <v>167</v>
      </c>
      <c r="C244" t="s">
        <v>16</v>
      </c>
      <c r="D244" s="28">
        <v>45590</v>
      </c>
      <c r="E244" t="s">
        <v>327</v>
      </c>
      <c r="F244">
        <v>15</v>
      </c>
      <c r="G244" t="s">
        <v>316</v>
      </c>
      <c r="H244" t="s">
        <v>328</v>
      </c>
      <c r="I244">
        <v>30</v>
      </c>
      <c r="J244" t="s">
        <v>328</v>
      </c>
      <c r="K244">
        <v>20</v>
      </c>
      <c r="L244">
        <v>3</v>
      </c>
      <c r="M244">
        <v>62</v>
      </c>
    </row>
    <row r="245" spans="1:13" x14ac:dyDescent="0.25">
      <c r="A245">
        <v>3474</v>
      </c>
      <c r="B245" t="s">
        <v>259</v>
      </c>
      <c r="C245" t="s">
        <v>24</v>
      </c>
      <c r="D245" s="28">
        <v>45591</v>
      </c>
      <c r="E245" t="s">
        <v>328</v>
      </c>
      <c r="F245">
        <v>10</v>
      </c>
      <c r="G245" t="s">
        <v>315</v>
      </c>
      <c r="H245" t="s">
        <v>327</v>
      </c>
      <c r="I245" t="s">
        <v>309</v>
      </c>
      <c r="J245" t="s">
        <v>328</v>
      </c>
      <c r="K245">
        <v>20</v>
      </c>
      <c r="L245">
        <v>15</v>
      </c>
      <c r="M245">
        <v>15</v>
      </c>
    </row>
    <row r="246" spans="1:13" x14ac:dyDescent="0.25">
      <c r="A246">
        <v>3475</v>
      </c>
      <c r="B246" t="s">
        <v>260</v>
      </c>
      <c r="C246" t="s">
        <v>20</v>
      </c>
      <c r="D246" s="28">
        <v>45592</v>
      </c>
      <c r="E246" t="s">
        <v>327</v>
      </c>
      <c r="F246">
        <v>5</v>
      </c>
      <c r="G246" t="s">
        <v>316</v>
      </c>
      <c r="H246" t="s">
        <v>327</v>
      </c>
      <c r="I246" t="s">
        <v>309</v>
      </c>
      <c r="J246" t="s">
        <v>327</v>
      </c>
      <c r="K246">
        <v>0</v>
      </c>
      <c r="L246">
        <v>1</v>
      </c>
      <c r="M246">
        <v>4</v>
      </c>
    </row>
    <row r="247" spans="1:13" x14ac:dyDescent="0.25">
      <c r="A247">
        <v>3476</v>
      </c>
      <c r="B247" t="s">
        <v>261</v>
      </c>
      <c r="C247" t="s">
        <v>16</v>
      </c>
      <c r="D247" s="28">
        <v>45593</v>
      </c>
      <c r="E247" t="s">
        <v>328</v>
      </c>
      <c r="F247">
        <v>15</v>
      </c>
      <c r="G247" t="s">
        <v>317</v>
      </c>
      <c r="H247" t="s">
        <v>328</v>
      </c>
      <c r="I247">
        <v>30</v>
      </c>
      <c r="J247" t="s">
        <v>328</v>
      </c>
      <c r="K247">
        <v>20</v>
      </c>
      <c r="L247">
        <v>7</v>
      </c>
      <c r="M247">
        <v>58</v>
      </c>
    </row>
    <row r="248" spans="1:13" x14ac:dyDescent="0.25">
      <c r="A248">
        <v>3477</v>
      </c>
      <c r="B248" t="s">
        <v>262</v>
      </c>
      <c r="C248" t="s">
        <v>24</v>
      </c>
      <c r="D248" s="28">
        <v>45594</v>
      </c>
      <c r="E248" t="s">
        <v>327</v>
      </c>
      <c r="F248">
        <v>10</v>
      </c>
      <c r="G248" t="s">
        <v>316</v>
      </c>
      <c r="H248" t="s">
        <v>327</v>
      </c>
      <c r="I248" t="s">
        <v>309</v>
      </c>
      <c r="J248" t="s">
        <v>328</v>
      </c>
      <c r="K248">
        <v>20</v>
      </c>
      <c r="L248">
        <v>10</v>
      </c>
      <c r="M248">
        <v>20</v>
      </c>
    </row>
    <row r="249" spans="1:13" x14ac:dyDescent="0.25">
      <c r="A249">
        <v>3478</v>
      </c>
      <c r="B249" t="s">
        <v>263</v>
      </c>
      <c r="C249" t="s">
        <v>20</v>
      </c>
      <c r="D249" s="28">
        <v>45595</v>
      </c>
      <c r="E249" t="s">
        <v>328</v>
      </c>
      <c r="F249">
        <v>5</v>
      </c>
      <c r="G249" t="s">
        <v>315</v>
      </c>
      <c r="H249" t="s">
        <v>327</v>
      </c>
      <c r="I249" t="s">
        <v>309</v>
      </c>
      <c r="J249" t="s">
        <v>327</v>
      </c>
      <c r="K249">
        <v>0</v>
      </c>
      <c r="L249">
        <v>0</v>
      </c>
      <c r="M249">
        <v>5</v>
      </c>
    </row>
    <row r="250" spans="1:13" x14ac:dyDescent="0.25">
      <c r="A250">
        <v>3479</v>
      </c>
      <c r="B250" t="s">
        <v>264</v>
      </c>
      <c r="C250" t="s">
        <v>16</v>
      </c>
      <c r="D250" s="28">
        <v>45596</v>
      </c>
      <c r="E250" t="s">
        <v>327</v>
      </c>
      <c r="F250">
        <v>15</v>
      </c>
      <c r="G250" t="s">
        <v>316</v>
      </c>
      <c r="H250" t="s">
        <v>328</v>
      </c>
      <c r="I250">
        <v>30</v>
      </c>
      <c r="J250" t="s">
        <v>328</v>
      </c>
      <c r="K250">
        <v>20</v>
      </c>
      <c r="L250">
        <v>20</v>
      </c>
      <c r="M250">
        <v>45</v>
      </c>
    </row>
    <row r="251" spans="1:13" x14ac:dyDescent="0.25">
      <c r="A251">
        <v>3480</v>
      </c>
      <c r="B251" t="s">
        <v>265</v>
      </c>
      <c r="C251" t="s">
        <v>24</v>
      </c>
      <c r="D251" s="28">
        <v>45597</v>
      </c>
      <c r="E251" t="s">
        <v>328</v>
      </c>
      <c r="F251">
        <v>10</v>
      </c>
      <c r="G251" t="s">
        <v>317</v>
      </c>
      <c r="H251" t="s">
        <v>327</v>
      </c>
      <c r="I251" t="s">
        <v>309</v>
      </c>
      <c r="J251" t="s">
        <v>328</v>
      </c>
      <c r="K251">
        <v>20</v>
      </c>
      <c r="L251">
        <v>15</v>
      </c>
      <c r="M251">
        <v>15</v>
      </c>
    </row>
    <row r="252" spans="1:13" x14ac:dyDescent="0.25">
      <c r="A252">
        <v>3481</v>
      </c>
      <c r="B252" t="s">
        <v>266</v>
      </c>
      <c r="C252" t="s">
        <v>20</v>
      </c>
      <c r="D252" s="28">
        <v>45598</v>
      </c>
      <c r="E252" t="s">
        <v>327</v>
      </c>
      <c r="F252">
        <v>5</v>
      </c>
      <c r="G252" t="s">
        <v>316</v>
      </c>
      <c r="H252" t="s">
        <v>327</v>
      </c>
      <c r="I252" t="s">
        <v>309</v>
      </c>
      <c r="J252" t="s">
        <v>327</v>
      </c>
      <c r="K252">
        <v>0</v>
      </c>
      <c r="L252">
        <v>1</v>
      </c>
      <c r="M252">
        <v>4</v>
      </c>
    </row>
    <row r="253" spans="1:13" x14ac:dyDescent="0.25">
      <c r="A253">
        <v>3482</v>
      </c>
      <c r="B253" t="s">
        <v>267</v>
      </c>
      <c r="C253" t="s">
        <v>16</v>
      </c>
      <c r="D253" s="28">
        <v>45599</v>
      </c>
      <c r="E253" t="s">
        <v>328</v>
      </c>
      <c r="F253">
        <v>15</v>
      </c>
      <c r="G253" t="s">
        <v>315</v>
      </c>
      <c r="H253" t="s">
        <v>328</v>
      </c>
      <c r="I253">
        <v>30</v>
      </c>
      <c r="J253" t="s">
        <v>328</v>
      </c>
      <c r="K253">
        <v>20</v>
      </c>
      <c r="L253">
        <v>3</v>
      </c>
      <c r="M253">
        <v>62</v>
      </c>
    </row>
    <row r="254" spans="1:13" x14ac:dyDescent="0.25">
      <c r="A254">
        <v>3483</v>
      </c>
      <c r="B254" t="s">
        <v>268</v>
      </c>
      <c r="C254" t="s">
        <v>24</v>
      </c>
      <c r="D254" s="28">
        <v>45600</v>
      </c>
      <c r="E254" t="s">
        <v>327</v>
      </c>
      <c r="F254">
        <v>10</v>
      </c>
      <c r="G254" t="s">
        <v>316</v>
      </c>
      <c r="H254" t="s">
        <v>327</v>
      </c>
      <c r="I254" t="s">
        <v>309</v>
      </c>
      <c r="J254" t="s">
        <v>328</v>
      </c>
      <c r="K254">
        <v>20</v>
      </c>
      <c r="L254">
        <v>10</v>
      </c>
      <c r="M254">
        <v>20</v>
      </c>
    </row>
    <row r="255" spans="1:13" x14ac:dyDescent="0.25">
      <c r="A255">
        <v>3484</v>
      </c>
      <c r="B255" t="s">
        <v>269</v>
      </c>
      <c r="C255" t="s">
        <v>20</v>
      </c>
      <c r="D255" s="28">
        <v>45601</v>
      </c>
      <c r="E255" t="s">
        <v>328</v>
      </c>
      <c r="F255">
        <v>5</v>
      </c>
      <c r="G255" t="s">
        <v>317</v>
      </c>
      <c r="H255" t="s">
        <v>327</v>
      </c>
      <c r="I255" t="s">
        <v>309</v>
      </c>
      <c r="J255" t="s">
        <v>327</v>
      </c>
      <c r="K255">
        <v>0</v>
      </c>
      <c r="L255">
        <v>0</v>
      </c>
      <c r="M255">
        <v>5</v>
      </c>
    </row>
    <row r="256" spans="1:13" x14ac:dyDescent="0.25">
      <c r="A256">
        <v>3485</v>
      </c>
      <c r="B256" t="s">
        <v>270</v>
      </c>
      <c r="C256" t="s">
        <v>16</v>
      </c>
      <c r="D256" s="28">
        <v>45602</v>
      </c>
      <c r="E256" t="s">
        <v>327</v>
      </c>
      <c r="F256">
        <v>15</v>
      </c>
      <c r="G256" t="s">
        <v>316</v>
      </c>
      <c r="H256" t="s">
        <v>328</v>
      </c>
      <c r="I256">
        <v>30</v>
      </c>
      <c r="J256" t="s">
        <v>328</v>
      </c>
      <c r="K256">
        <v>20</v>
      </c>
      <c r="L256">
        <v>15</v>
      </c>
      <c r="M256">
        <v>50</v>
      </c>
    </row>
    <row r="257" spans="1:13" x14ac:dyDescent="0.25">
      <c r="A257">
        <v>3486</v>
      </c>
      <c r="B257" t="s">
        <v>271</v>
      </c>
      <c r="C257" t="s">
        <v>20</v>
      </c>
      <c r="D257" s="28">
        <v>45603</v>
      </c>
      <c r="E257" t="s">
        <v>328</v>
      </c>
      <c r="F257">
        <v>5</v>
      </c>
      <c r="G257" t="s">
        <v>316</v>
      </c>
      <c r="H257" t="s">
        <v>327</v>
      </c>
      <c r="I257" t="s">
        <v>309</v>
      </c>
      <c r="J257" t="s">
        <v>327</v>
      </c>
      <c r="K257">
        <v>0</v>
      </c>
      <c r="L257">
        <v>0</v>
      </c>
      <c r="M257">
        <v>5</v>
      </c>
    </row>
    <row r="258" spans="1:13" x14ac:dyDescent="0.25">
      <c r="A258">
        <v>3487</v>
      </c>
      <c r="B258" t="s">
        <v>272</v>
      </c>
      <c r="C258" t="s">
        <v>16</v>
      </c>
      <c r="D258" s="28">
        <v>45604</v>
      </c>
      <c r="E258" t="s">
        <v>327</v>
      </c>
      <c r="F258">
        <v>15</v>
      </c>
      <c r="G258" t="s">
        <v>317</v>
      </c>
      <c r="H258" t="s">
        <v>328</v>
      </c>
      <c r="I258">
        <v>30</v>
      </c>
      <c r="J258" t="s">
        <v>328</v>
      </c>
      <c r="K258">
        <v>20</v>
      </c>
      <c r="L258">
        <v>7</v>
      </c>
      <c r="M258">
        <v>58</v>
      </c>
    </row>
    <row r="259" spans="1:13" x14ac:dyDescent="0.25">
      <c r="A259">
        <v>3488</v>
      </c>
      <c r="B259" t="s">
        <v>273</v>
      </c>
      <c r="C259" t="s">
        <v>24</v>
      </c>
      <c r="D259" s="28">
        <v>45605</v>
      </c>
      <c r="E259" t="s">
        <v>328</v>
      </c>
      <c r="F259">
        <v>10</v>
      </c>
      <c r="G259" t="s">
        <v>315</v>
      </c>
      <c r="H259" t="s">
        <v>327</v>
      </c>
      <c r="I259" t="s">
        <v>309</v>
      </c>
      <c r="J259" t="s">
        <v>328</v>
      </c>
      <c r="K259">
        <v>20</v>
      </c>
      <c r="L259">
        <v>10</v>
      </c>
      <c r="M259">
        <v>20</v>
      </c>
    </row>
    <row r="260" spans="1:13" x14ac:dyDescent="0.25">
      <c r="A260">
        <v>3489</v>
      </c>
      <c r="B260" t="s">
        <v>274</v>
      </c>
      <c r="C260" t="s">
        <v>20</v>
      </c>
      <c r="D260" s="28">
        <v>45606</v>
      </c>
      <c r="E260" t="s">
        <v>327</v>
      </c>
      <c r="F260">
        <v>5</v>
      </c>
      <c r="G260" t="s">
        <v>317</v>
      </c>
      <c r="H260" t="s">
        <v>327</v>
      </c>
      <c r="I260" t="s">
        <v>309</v>
      </c>
      <c r="J260" t="s">
        <v>327</v>
      </c>
      <c r="K260">
        <v>0</v>
      </c>
      <c r="L260">
        <v>1</v>
      </c>
      <c r="M260">
        <v>4</v>
      </c>
    </row>
    <row r="261" spans="1:13" x14ac:dyDescent="0.25">
      <c r="A261">
        <v>3490</v>
      </c>
      <c r="B261" t="s">
        <v>275</v>
      </c>
      <c r="C261" t="s">
        <v>16</v>
      </c>
      <c r="D261" s="28">
        <v>45607</v>
      </c>
      <c r="E261" t="s">
        <v>328</v>
      </c>
      <c r="F261">
        <v>15</v>
      </c>
      <c r="G261" t="s">
        <v>316</v>
      </c>
      <c r="H261" t="s">
        <v>328</v>
      </c>
      <c r="I261">
        <v>30</v>
      </c>
      <c r="J261" t="s">
        <v>328</v>
      </c>
      <c r="K261">
        <v>20</v>
      </c>
      <c r="L261">
        <v>15</v>
      </c>
      <c r="M261">
        <v>50</v>
      </c>
    </row>
    <row r="262" spans="1:13" x14ac:dyDescent="0.25">
      <c r="A262">
        <v>3491</v>
      </c>
      <c r="B262" t="s">
        <v>276</v>
      </c>
      <c r="C262" t="s">
        <v>24</v>
      </c>
      <c r="D262" s="28">
        <v>45608</v>
      </c>
      <c r="E262" t="s">
        <v>327</v>
      </c>
      <c r="F262">
        <v>10</v>
      </c>
      <c r="G262" t="s">
        <v>316</v>
      </c>
      <c r="H262" t="s">
        <v>327</v>
      </c>
      <c r="I262" t="s">
        <v>309</v>
      </c>
      <c r="J262" t="s">
        <v>328</v>
      </c>
      <c r="K262">
        <v>20</v>
      </c>
      <c r="L262">
        <v>5</v>
      </c>
      <c r="M262">
        <v>25</v>
      </c>
    </row>
    <row r="263" spans="1:13" x14ac:dyDescent="0.25">
      <c r="A263">
        <v>3492</v>
      </c>
      <c r="B263" t="s">
        <v>277</v>
      </c>
      <c r="C263" t="s">
        <v>20</v>
      </c>
      <c r="D263" s="28">
        <v>45609</v>
      </c>
      <c r="E263" t="s">
        <v>328</v>
      </c>
      <c r="F263">
        <v>5</v>
      </c>
      <c r="G263" t="s">
        <v>315</v>
      </c>
      <c r="H263" t="s">
        <v>327</v>
      </c>
      <c r="I263" t="s">
        <v>309</v>
      </c>
      <c r="J263" t="s">
        <v>327</v>
      </c>
      <c r="K263">
        <v>0</v>
      </c>
      <c r="L263">
        <v>0</v>
      </c>
      <c r="M263">
        <v>5</v>
      </c>
    </row>
    <row r="264" spans="1:13" x14ac:dyDescent="0.25">
      <c r="A264">
        <v>3493</v>
      </c>
      <c r="B264" t="s">
        <v>278</v>
      </c>
      <c r="C264" t="s">
        <v>16</v>
      </c>
      <c r="D264" s="28">
        <v>45610</v>
      </c>
      <c r="E264" t="s">
        <v>327</v>
      </c>
      <c r="F264">
        <v>15</v>
      </c>
      <c r="G264" t="s">
        <v>317</v>
      </c>
      <c r="H264" t="s">
        <v>328</v>
      </c>
      <c r="I264">
        <v>30</v>
      </c>
      <c r="J264" t="s">
        <v>328</v>
      </c>
      <c r="K264">
        <v>20</v>
      </c>
      <c r="L264">
        <v>20</v>
      </c>
      <c r="M264">
        <v>45</v>
      </c>
    </row>
    <row r="265" spans="1:13" x14ac:dyDescent="0.25">
      <c r="A265">
        <v>3494</v>
      </c>
      <c r="B265" t="s">
        <v>279</v>
      </c>
      <c r="C265" t="s">
        <v>24</v>
      </c>
      <c r="D265" s="28">
        <v>45611</v>
      </c>
      <c r="E265" t="s">
        <v>328</v>
      </c>
      <c r="F265">
        <v>10</v>
      </c>
      <c r="G265" t="s">
        <v>317</v>
      </c>
      <c r="H265" t="s">
        <v>327</v>
      </c>
      <c r="I265" t="s">
        <v>309</v>
      </c>
      <c r="J265" t="s">
        <v>328</v>
      </c>
      <c r="K265">
        <v>20</v>
      </c>
      <c r="L265">
        <v>12</v>
      </c>
      <c r="M265">
        <v>18</v>
      </c>
    </row>
    <row r="266" spans="1:13" x14ac:dyDescent="0.25">
      <c r="A266">
        <v>3495</v>
      </c>
      <c r="B266" t="s">
        <v>280</v>
      </c>
      <c r="C266" t="s">
        <v>20</v>
      </c>
      <c r="D266" s="28">
        <v>45612</v>
      </c>
      <c r="E266" t="s">
        <v>327</v>
      </c>
      <c r="F266">
        <v>5</v>
      </c>
      <c r="G266" t="s">
        <v>316</v>
      </c>
      <c r="H266" t="s">
        <v>327</v>
      </c>
      <c r="I266" t="s">
        <v>309</v>
      </c>
      <c r="J266" t="s">
        <v>327</v>
      </c>
      <c r="K266">
        <v>0</v>
      </c>
      <c r="L266">
        <v>2</v>
      </c>
      <c r="M266">
        <v>3</v>
      </c>
    </row>
    <row r="267" spans="1:13" x14ac:dyDescent="0.25">
      <c r="A267">
        <v>3496</v>
      </c>
      <c r="B267" t="s">
        <v>281</v>
      </c>
      <c r="C267" t="s">
        <v>16</v>
      </c>
      <c r="D267" s="28">
        <v>45613</v>
      </c>
      <c r="E267" t="s">
        <v>328</v>
      </c>
      <c r="F267">
        <v>15</v>
      </c>
      <c r="G267" t="s">
        <v>315</v>
      </c>
      <c r="H267" t="s">
        <v>328</v>
      </c>
      <c r="I267">
        <v>30</v>
      </c>
      <c r="J267" t="s">
        <v>328</v>
      </c>
      <c r="K267">
        <v>20</v>
      </c>
      <c r="L267">
        <v>5</v>
      </c>
      <c r="M267">
        <v>60</v>
      </c>
    </row>
    <row r="268" spans="1:13" x14ac:dyDescent="0.25">
      <c r="A268">
        <v>3497</v>
      </c>
      <c r="B268" t="s">
        <v>282</v>
      </c>
      <c r="C268" t="s">
        <v>24</v>
      </c>
      <c r="D268" s="28">
        <v>45614</v>
      </c>
      <c r="E268" t="s">
        <v>327</v>
      </c>
      <c r="F268">
        <v>10</v>
      </c>
      <c r="G268" t="s">
        <v>316</v>
      </c>
      <c r="H268" t="s">
        <v>327</v>
      </c>
      <c r="I268" t="s">
        <v>309</v>
      </c>
      <c r="J268" t="s">
        <v>328</v>
      </c>
      <c r="K268">
        <v>20</v>
      </c>
      <c r="L268">
        <v>10</v>
      </c>
      <c r="M268">
        <v>20</v>
      </c>
    </row>
    <row r="269" spans="1:13" x14ac:dyDescent="0.25">
      <c r="A269">
        <v>3498</v>
      </c>
      <c r="B269" t="s">
        <v>283</v>
      </c>
      <c r="C269" t="s">
        <v>20</v>
      </c>
      <c r="D269" s="28">
        <v>45615</v>
      </c>
      <c r="E269" t="s">
        <v>328</v>
      </c>
      <c r="F269">
        <v>5</v>
      </c>
      <c r="G269" t="s">
        <v>317</v>
      </c>
      <c r="H269" t="s">
        <v>327</v>
      </c>
      <c r="I269" t="s">
        <v>309</v>
      </c>
      <c r="J269" t="s">
        <v>327</v>
      </c>
      <c r="K269">
        <v>0</v>
      </c>
      <c r="L269">
        <v>0</v>
      </c>
      <c r="M269">
        <v>5</v>
      </c>
    </row>
    <row r="270" spans="1:13" x14ac:dyDescent="0.25">
      <c r="A270">
        <v>3499</v>
      </c>
      <c r="B270" t="s">
        <v>284</v>
      </c>
      <c r="C270" t="s">
        <v>16</v>
      </c>
      <c r="D270" s="28">
        <v>45616</v>
      </c>
      <c r="E270" t="s">
        <v>327</v>
      </c>
      <c r="F270">
        <v>15</v>
      </c>
      <c r="G270" t="s">
        <v>316</v>
      </c>
      <c r="H270" t="s">
        <v>328</v>
      </c>
      <c r="I270">
        <v>30</v>
      </c>
      <c r="J270" t="s">
        <v>328</v>
      </c>
      <c r="K270">
        <v>20</v>
      </c>
      <c r="L270">
        <v>3</v>
      </c>
      <c r="M270">
        <v>62</v>
      </c>
    </row>
    <row r="271" spans="1:13" x14ac:dyDescent="0.25">
      <c r="A271">
        <v>3500</v>
      </c>
      <c r="B271" t="s">
        <v>285</v>
      </c>
      <c r="C271" t="s">
        <v>24</v>
      </c>
      <c r="D271" s="28">
        <v>45617</v>
      </c>
      <c r="E271" t="s">
        <v>328</v>
      </c>
      <c r="F271">
        <v>10</v>
      </c>
      <c r="G271" t="s">
        <v>315</v>
      </c>
      <c r="H271" t="s">
        <v>327</v>
      </c>
      <c r="I271" t="s">
        <v>309</v>
      </c>
      <c r="J271" t="s">
        <v>328</v>
      </c>
      <c r="K271">
        <v>20</v>
      </c>
      <c r="L271">
        <v>15</v>
      </c>
      <c r="M271">
        <v>15</v>
      </c>
    </row>
    <row r="272" spans="1:13" x14ac:dyDescent="0.25">
      <c r="A272">
        <v>3501</v>
      </c>
      <c r="B272" t="s">
        <v>286</v>
      </c>
      <c r="C272" t="s">
        <v>20</v>
      </c>
      <c r="D272" s="28">
        <v>45618</v>
      </c>
      <c r="E272" t="s">
        <v>327</v>
      </c>
      <c r="F272">
        <v>5</v>
      </c>
      <c r="G272" t="s">
        <v>316</v>
      </c>
      <c r="H272" t="s">
        <v>327</v>
      </c>
      <c r="I272" t="s">
        <v>309</v>
      </c>
      <c r="J272" t="s">
        <v>327</v>
      </c>
      <c r="K272">
        <v>0</v>
      </c>
      <c r="L272">
        <v>1</v>
      </c>
      <c r="M272">
        <v>4</v>
      </c>
    </row>
    <row r="273" spans="1:13" x14ac:dyDescent="0.25">
      <c r="A273">
        <v>3502</v>
      </c>
      <c r="B273" t="s">
        <v>287</v>
      </c>
      <c r="C273" t="s">
        <v>16</v>
      </c>
      <c r="D273" s="28">
        <v>45619</v>
      </c>
      <c r="E273" t="s">
        <v>328</v>
      </c>
      <c r="F273">
        <v>15</v>
      </c>
      <c r="G273" t="s">
        <v>317</v>
      </c>
      <c r="H273" t="s">
        <v>328</v>
      </c>
      <c r="I273">
        <v>30</v>
      </c>
      <c r="J273" t="s">
        <v>328</v>
      </c>
      <c r="K273">
        <v>20</v>
      </c>
      <c r="L273">
        <v>7</v>
      </c>
      <c r="M273">
        <v>58</v>
      </c>
    </row>
    <row r="274" spans="1:13" x14ac:dyDescent="0.25">
      <c r="A274">
        <v>3503</v>
      </c>
      <c r="B274" t="s">
        <v>146</v>
      </c>
      <c r="C274" t="s">
        <v>24</v>
      </c>
      <c r="D274" s="28">
        <v>45620</v>
      </c>
      <c r="E274" t="s">
        <v>327</v>
      </c>
      <c r="F274">
        <v>10</v>
      </c>
      <c r="G274" t="s">
        <v>316</v>
      </c>
      <c r="H274" t="s">
        <v>327</v>
      </c>
      <c r="I274" t="s">
        <v>309</v>
      </c>
      <c r="J274" t="s">
        <v>328</v>
      </c>
      <c r="K274">
        <v>20</v>
      </c>
      <c r="L274">
        <v>10</v>
      </c>
      <c r="M274">
        <v>20</v>
      </c>
    </row>
    <row r="275" spans="1:13" x14ac:dyDescent="0.25">
      <c r="A275">
        <v>3504</v>
      </c>
      <c r="B275" t="s">
        <v>288</v>
      </c>
      <c r="C275" t="s">
        <v>20</v>
      </c>
      <c r="D275" s="28">
        <v>45621</v>
      </c>
      <c r="E275" t="s">
        <v>328</v>
      </c>
      <c r="F275">
        <v>5</v>
      </c>
      <c r="G275" t="s">
        <v>315</v>
      </c>
      <c r="H275" t="s">
        <v>327</v>
      </c>
      <c r="I275" t="s">
        <v>309</v>
      </c>
      <c r="J275" t="s">
        <v>327</v>
      </c>
      <c r="K275">
        <v>0</v>
      </c>
      <c r="L275">
        <v>0</v>
      </c>
      <c r="M275">
        <v>5</v>
      </c>
    </row>
    <row r="276" spans="1:13" x14ac:dyDescent="0.25">
      <c r="A276">
        <v>3505</v>
      </c>
      <c r="B276" t="s">
        <v>289</v>
      </c>
      <c r="C276" t="s">
        <v>16</v>
      </c>
      <c r="D276" s="28">
        <v>45622</v>
      </c>
      <c r="E276" t="s">
        <v>327</v>
      </c>
      <c r="F276">
        <v>15</v>
      </c>
      <c r="G276" t="s">
        <v>316</v>
      </c>
      <c r="H276" t="s">
        <v>328</v>
      </c>
      <c r="I276">
        <v>30</v>
      </c>
      <c r="J276" t="s">
        <v>328</v>
      </c>
      <c r="K276">
        <v>20</v>
      </c>
      <c r="L276">
        <v>20</v>
      </c>
      <c r="M276">
        <v>45</v>
      </c>
    </row>
    <row r="277" spans="1:13" x14ac:dyDescent="0.25">
      <c r="A277">
        <v>3506</v>
      </c>
      <c r="B277" t="s">
        <v>290</v>
      </c>
      <c r="C277" t="s">
        <v>24</v>
      </c>
      <c r="D277" s="28">
        <v>45623</v>
      </c>
      <c r="E277" t="s">
        <v>328</v>
      </c>
      <c r="F277">
        <v>10</v>
      </c>
      <c r="G277" t="s">
        <v>317</v>
      </c>
      <c r="H277" t="s">
        <v>327</v>
      </c>
      <c r="I277" t="s">
        <v>309</v>
      </c>
      <c r="J277" t="s">
        <v>328</v>
      </c>
      <c r="K277">
        <v>20</v>
      </c>
      <c r="L277">
        <v>15</v>
      </c>
      <c r="M277">
        <v>15</v>
      </c>
    </row>
    <row r="278" spans="1:13" x14ac:dyDescent="0.25">
      <c r="A278">
        <v>3507</v>
      </c>
      <c r="B278" t="s">
        <v>291</v>
      </c>
      <c r="C278" t="s">
        <v>20</v>
      </c>
      <c r="D278" s="28">
        <v>45624</v>
      </c>
      <c r="E278" t="s">
        <v>327</v>
      </c>
      <c r="F278">
        <v>5</v>
      </c>
      <c r="G278" t="s">
        <v>316</v>
      </c>
      <c r="H278" t="s">
        <v>327</v>
      </c>
      <c r="I278" t="s">
        <v>309</v>
      </c>
      <c r="J278" t="s">
        <v>327</v>
      </c>
      <c r="K278">
        <v>0</v>
      </c>
      <c r="L278">
        <v>1</v>
      </c>
      <c r="M278">
        <v>4</v>
      </c>
    </row>
    <row r="279" spans="1:13" x14ac:dyDescent="0.25">
      <c r="A279">
        <v>3508</v>
      </c>
      <c r="B279" t="s">
        <v>292</v>
      </c>
      <c r="C279" t="s">
        <v>16</v>
      </c>
      <c r="D279" s="28">
        <v>45625</v>
      </c>
      <c r="E279" t="s">
        <v>328</v>
      </c>
      <c r="F279">
        <v>15</v>
      </c>
      <c r="G279" t="s">
        <v>315</v>
      </c>
      <c r="H279" t="s">
        <v>328</v>
      </c>
      <c r="I279">
        <v>30</v>
      </c>
      <c r="J279" t="s">
        <v>328</v>
      </c>
      <c r="K279">
        <v>20</v>
      </c>
      <c r="L279">
        <v>3</v>
      </c>
      <c r="M279">
        <v>62</v>
      </c>
    </row>
    <row r="280" spans="1:13" x14ac:dyDescent="0.25">
      <c r="A280">
        <v>3509</v>
      </c>
      <c r="B280" t="s">
        <v>293</v>
      </c>
      <c r="C280" t="s">
        <v>24</v>
      </c>
      <c r="D280" s="28">
        <v>45626</v>
      </c>
      <c r="E280" t="s">
        <v>327</v>
      </c>
      <c r="F280">
        <v>10</v>
      </c>
      <c r="G280" t="s">
        <v>316</v>
      </c>
      <c r="H280" t="s">
        <v>327</v>
      </c>
      <c r="I280" t="s">
        <v>309</v>
      </c>
      <c r="J280" t="s">
        <v>328</v>
      </c>
      <c r="K280">
        <v>20</v>
      </c>
      <c r="L280">
        <v>10</v>
      </c>
      <c r="M280">
        <v>20</v>
      </c>
    </row>
    <row r="281" spans="1:13" x14ac:dyDescent="0.25">
      <c r="A281">
        <v>3510</v>
      </c>
      <c r="B281" t="s">
        <v>294</v>
      </c>
      <c r="C281" t="s">
        <v>20</v>
      </c>
      <c r="D281" s="28">
        <v>45627</v>
      </c>
      <c r="E281" t="s">
        <v>328</v>
      </c>
      <c r="F281">
        <v>5</v>
      </c>
      <c r="G281" t="s">
        <v>317</v>
      </c>
      <c r="H281" t="s">
        <v>327</v>
      </c>
      <c r="I281" t="s">
        <v>309</v>
      </c>
      <c r="J281" t="s">
        <v>327</v>
      </c>
      <c r="K281">
        <v>0</v>
      </c>
      <c r="L281">
        <v>0</v>
      </c>
      <c r="M281">
        <v>5</v>
      </c>
    </row>
    <row r="282" spans="1:13" x14ac:dyDescent="0.25">
      <c r="A282">
        <v>3511</v>
      </c>
      <c r="B282" t="s">
        <v>295</v>
      </c>
      <c r="C282" t="s">
        <v>16</v>
      </c>
      <c r="D282" s="28">
        <v>45628</v>
      </c>
      <c r="E282" t="s">
        <v>327</v>
      </c>
      <c r="F282">
        <v>15</v>
      </c>
      <c r="G282" t="s">
        <v>316</v>
      </c>
      <c r="H282" t="s">
        <v>328</v>
      </c>
      <c r="I282">
        <v>30</v>
      </c>
      <c r="J282" t="s">
        <v>328</v>
      </c>
      <c r="K282">
        <v>20</v>
      </c>
      <c r="L282">
        <v>15</v>
      </c>
      <c r="M282">
        <v>50</v>
      </c>
    </row>
    <row r="283" spans="1:13" x14ac:dyDescent="0.25">
      <c r="A283">
        <v>3512</v>
      </c>
      <c r="B283" t="s">
        <v>296</v>
      </c>
      <c r="C283" t="s">
        <v>24</v>
      </c>
      <c r="D283" s="28">
        <v>45629</v>
      </c>
      <c r="E283" t="s">
        <v>328</v>
      </c>
      <c r="F283">
        <v>10</v>
      </c>
      <c r="G283" t="s">
        <v>315</v>
      </c>
      <c r="H283" t="s">
        <v>327</v>
      </c>
      <c r="I283" t="s">
        <v>309</v>
      </c>
      <c r="J283" t="s">
        <v>328</v>
      </c>
      <c r="K283">
        <v>20</v>
      </c>
      <c r="L283">
        <v>15</v>
      </c>
      <c r="M283">
        <v>15</v>
      </c>
    </row>
    <row r="284" spans="1:13" x14ac:dyDescent="0.25">
      <c r="A284">
        <v>3513</v>
      </c>
      <c r="B284" t="s">
        <v>297</v>
      </c>
      <c r="C284" t="s">
        <v>20</v>
      </c>
      <c r="D284" s="28">
        <v>45630</v>
      </c>
      <c r="E284" t="s">
        <v>327</v>
      </c>
      <c r="F284">
        <v>5</v>
      </c>
      <c r="G284" t="s">
        <v>316</v>
      </c>
      <c r="H284" t="s">
        <v>327</v>
      </c>
      <c r="I284" t="s">
        <v>309</v>
      </c>
      <c r="J284" t="s">
        <v>327</v>
      </c>
      <c r="K284">
        <v>0</v>
      </c>
      <c r="L284">
        <v>1</v>
      </c>
      <c r="M284">
        <v>4</v>
      </c>
    </row>
    <row r="285" spans="1:13" x14ac:dyDescent="0.25">
      <c r="A285">
        <v>3514</v>
      </c>
      <c r="B285" t="s">
        <v>298</v>
      </c>
      <c r="C285" t="s">
        <v>16</v>
      </c>
      <c r="D285" s="28">
        <v>45631</v>
      </c>
      <c r="E285" t="s">
        <v>328</v>
      </c>
      <c r="F285">
        <v>15</v>
      </c>
      <c r="G285" t="s">
        <v>317</v>
      </c>
      <c r="H285" t="s">
        <v>328</v>
      </c>
      <c r="I285">
        <v>30</v>
      </c>
      <c r="J285" t="s">
        <v>328</v>
      </c>
      <c r="K285">
        <v>20</v>
      </c>
      <c r="L285">
        <v>7</v>
      </c>
      <c r="M285">
        <v>58</v>
      </c>
    </row>
    <row r="286" spans="1:13" x14ac:dyDescent="0.25">
      <c r="A286">
        <v>3515</v>
      </c>
      <c r="B286" t="s">
        <v>157</v>
      </c>
      <c r="C286" t="s">
        <v>24</v>
      </c>
      <c r="D286" s="28">
        <v>45632</v>
      </c>
      <c r="E286" t="s">
        <v>327</v>
      </c>
      <c r="F286">
        <v>10</v>
      </c>
      <c r="G286" t="s">
        <v>316</v>
      </c>
      <c r="H286" t="s">
        <v>327</v>
      </c>
      <c r="I286" t="s">
        <v>309</v>
      </c>
      <c r="J286" t="s">
        <v>328</v>
      </c>
      <c r="K286">
        <v>20</v>
      </c>
      <c r="L286">
        <v>10</v>
      </c>
      <c r="M286">
        <v>20</v>
      </c>
    </row>
    <row r="287" spans="1:13" x14ac:dyDescent="0.25">
      <c r="A287">
        <v>3516</v>
      </c>
      <c r="B287" t="s">
        <v>158</v>
      </c>
      <c r="C287" t="s">
        <v>20</v>
      </c>
      <c r="D287" s="28">
        <v>45633</v>
      </c>
      <c r="E287" t="s">
        <v>328</v>
      </c>
      <c r="F287">
        <v>5</v>
      </c>
      <c r="G287" t="s">
        <v>315</v>
      </c>
      <c r="H287" t="s">
        <v>327</v>
      </c>
      <c r="I287" t="s">
        <v>309</v>
      </c>
      <c r="J287" t="s">
        <v>327</v>
      </c>
      <c r="K287">
        <v>0</v>
      </c>
      <c r="L287">
        <v>0</v>
      </c>
      <c r="M287">
        <v>5</v>
      </c>
    </row>
    <row r="288" spans="1:13" x14ac:dyDescent="0.25">
      <c r="A288">
        <v>3517</v>
      </c>
      <c r="B288" t="s">
        <v>208</v>
      </c>
      <c r="C288" t="s">
        <v>16</v>
      </c>
      <c r="D288" s="28">
        <v>45634</v>
      </c>
      <c r="E288" t="s">
        <v>327</v>
      </c>
      <c r="F288">
        <v>15</v>
      </c>
      <c r="G288" t="s">
        <v>316</v>
      </c>
      <c r="H288" t="s">
        <v>328</v>
      </c>
      <c r="I288">
        <v>30</v>
      </c>
      <c r="J288" t="s">
        <v>328</v>
      </c>
      <c r="K288">
        <v>20</v>
      </c>
      <c r="L288">
        <v>20</v>
      </c>
      <c r="M288">
        <v>45</v>
      </c>
    </row>
    <row r="289" spans="1:13" x14ac:dyDescent="0.25">
      <c r="A289">
        <v>3518</v>
      </c>
      <c r="B289" t="s">
        <v>299</v>
      </c>
      <c r="C289" t="s">
        <v>24</v>
      </c>
      <c r="D289" s="28">
        <v>45635</v>
      </c>
      <c r="E289" t="s">
        <v>328</v>
      </c>
      <c r="F289">
        <v>10</v>
      </c>
      <c r="G289" t="s">
        <v>317</v>
      </c>
      <c r="H289" t="s">
        <v>327</v>
      </c>
      <c r="I289" t="s">
        <v>309</v>
      </c>
      <c r="J289" t="s">
        <v>328</v>
      </c>
      <c r="K289">
        <v>20</v>
      </c>
      <c r="L289">
        <v>12</v>
      </c>
      <c r="M289">
        <v>18</v>
      </c>
    </row>
    <row r="290" spans="1:13" x14ac:dyDescent="0.25">
      <c r="A290">
        <v>3519</v>
      </c>
      <c r="B290" t="s">
        <v>300</v>
      </c>
      <c r="C290" t="s">
        <v>20</v>
      </c>
      <c r="D290" s="28">
        <v>45636</v>
      </c>
      <c r="E290" t="s">
        <v>327</v>
      </c>
      <c r="F290">
        <v>5</v>
      </c>
      <c r="G290" t="s">
        <v>316</v>
      </c>
      <c r="H290" t="s">
        <v>327</v>
      </c>
      <c r="I290" t="s">
        <v>309</v>
      </c>
      <c r="J290" t="s">
        <v>327</v>
      </c>
      <c r="K290">
        <v>0</v>
      </c>
      <c r="L290">
        <v>2</v>
      </c>
      <c r="M290">
        <v>3</v>
      </c>
    </row>
    <row r="291" spans="1:13" x14ac:dyDescent="0.25">
      <c r="A291">
        <v>3520</v>
      </c>
      <c r="B291" t="s">
        <v>301</v>
      </c>
      <c r="C291" t="s">
        <v>16</v>
      </c>
      <c r="D291" s="28">
        <v>45637</v>
      </c>
      <c r="E291" t="s">
        <v>328</v>
      </c>
      <c r="F291">
        <v>15</v>
      </c>
      <c r="G291" t="s">
        <v>315</v>
      </c>
      <c r="H291" t="s">
        <v>328</v>
      </c>
      <c r="I291">
        <v>30</v>
      </c>
      <c r="J291" t="s">
        <v>328</v>
      </c>
      <c r="K291">
        <v>20</v>
      </c>
      <c r="L291">
        <v>5</v>
      </c>
      <c r="M291">
        <v>60</v>
      </c>
    </row>
    <row r="292" spans="1:13" x14ac:dyDescent="0.25">
      <c r="A292">
        <v>3521</v>
      </c>
      <c r="B292" t="s">
        <v>302</v>
      </c>
      <c r="C292" t="s">
        <v>24</v>
      </c>
      <c r="D292" s="28">
        <v>45638</v>
      </c>
      <c r="E292" t="s">
        <v>327</v>
      </c>
      <c r="F292">
        <v>10</v>
      </c>
      <c r="G292" t="s">
        <v>316</v>
      </c>
      <c r="H292" t="s">
        <v>327</v>
      </c>
      <c r="I292" t="s">
        <v>309</v>
      </c>
      <c r="J292" t="s">
        <v>328</v>
      </c>
      <c r="K292">
        <v>20</v>
      </c>
      <c r="L292">
        <v>10</v>
      </c>
      <c r="M292">
        <v>20</v>
      </c>
    </row>
    <row r="293" spans="1:13" x14ac:dyDescent="0.25">
      <c r="A293">
        <v>3522</v>
      </c>
      <c r="B293" t="s">
        <v>303</v>
      </c>
      <c r="C293" t="s">
        <v>20</v>
      </c>
      <c r="D293" s="28">
        <v>45639</v>
      </c>
      <c r="E293" t="s">
        <v>328</v>
      </c>
      <c r="F293">
        <v>5</v>
      </c>
      <c r="G293" t="s">
        <v>317</v>
      </c>
      <c r="H293" t="s">
        <v>327</v>
      </c>
      <c r="I293" t="s">
        <v>309</v>
      </c>
      <c r="J293" t="s">
        <v>327</v>
      </c>
      <c r="K293">
        <v>0</v>
      </c>
      <c r="L293">
        <v>0</v>
      </c>
      <c r="M293">
        <v>5</v>
      </c>
    </row>
    <row r="294" spans="1:13" x14ac:dyDescent="0.25">
      <c r="A294">
        <v>3523</v>
      </c>
      <c r="B294" t="s">
        <v>304</v>
      </c>
      <c r="C294" t="s">
        <v>16</v>
      </c>
      <c r="D294" s="28">
        <v>45640</v>
      </c>
      <c r="E294" t="s">
        <v>327</v>
      </c>
      <c r="F294">
        <v>15</v>
      </c>
      <c r="G294" t="s">
        <v>316</v>
      </c>
      <c r="H294" t="s">
        <v>328</v>
      </c>
      <c r="I294">
        <v>30</v>
      </c>
      <c r="J294" t="s">
        <v>328</v>
      </c>
      <c r="K294">
        <v>20</v>
      </c>
      <c r="L294">
        <v>3</v>
      </c>
      <c r="M294">
        <v>62</v>
      </c>
    </row>
    <row r="295" spans="1:13" x14ac:dyDescent="0.25">
      <c r="A295">
        <v>3524</v>
      </c>
      <c r="B295" t="s">
        <v>305</v>
      </c>
      <c r="C295" t="s">
        <v>24</v>
      </c>
      <c r="D295" s="28">
        <v>45641</v>
      </c>
      <c r="E295" t="s">
        <v>328</v>
      </c>
      <c r="F295">
        <v>10</v>
      </c>
      <c r="G295" t="s">
        <v>315</v>
      </c>
      <c r="H295" t="s">
        <v>327</v>
      </c>
      <c r="I295" t="s">
        <v>309</v>
      </c>
      <c r="J295" t="s">
        <v>328</v>
      </c>
      <c r="K295">
        <v>20</v>
      </c>
      <c r="L295">
        <v>15</v>
      </c>
      <c r="M295">
        <v>15</v>
      </c>
    </row>
    <row r="296" spans="1:13" x14ac:dyDescent="0.25">
      <c r="A296">
        <v>3525</v>
      </c>
      <c r="B296" t="s">
        <v>306</v>
      </c>
      <c r="C296" t="s">
        <v>20</v>
      </c>
      <c r="D296" s="28">
        <v>45642</v>
      </c>
      <c r="E296" t="s">
        <v>327</v>
      </c>
      <c r="F296">
        <v>5</v>
      </c>
      <c r="G296" t="s">
        <v>316</v>
      </c>
      <c r="H296" t="s">
        <v>327</v>
      </c>
      <c r="I296" t="s">
        <v>309</v>
      </c>
      <c r="J296" t="s">
        <v>327</v>
      </c>
      <c r="K296">
        <v>0</v>
      </c>
      <c r="L296">
        <v>1</v>
      </c>
      <c r="M296">
        <v>4</v>
      </c>
    </row>
  </sheetData>
  <phoneticPr fontId="6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EB9264-1E2B-4D50-91AD-FAB0F7D0C9F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A̳ssets</vt:lpstr>
      <vt:lpstr>B̳ases</vt:lpstr>
      <vt:lpstr>C̳álculos</vt:lpstr>
      <vt:lpstr>Planilha7</vt:lpstr>
      <vt:lpstr>D̳ashboard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alessandre silva</cp:lastModifiedBy>
  <dcterms:created xsi:type="dcterms:W3CDTF">2024-12-19T13:13:10Z</dcterms:created>
  <dcterms:modified xsi:type="dcterms:W3CDTF">2026-09-15T18:35:56Z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